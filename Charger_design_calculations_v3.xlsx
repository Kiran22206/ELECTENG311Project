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iranelango/Downloads/"/>
    </mc:Choice>
  </mc:AlternateContent>
  <xr:revisionPtr revIDLastSave="0" documentId="13_ncr:1_{E53D5D32-1CAC-1144-AF91-C2783664B2E9}" xr6:coauthVersionLast="47" xr6:coauthVersionMax="47" xr10:uidLastSave="{00000000-0000-0000-0000-000000000000}"/>
  <bookViews>
    <workbookView xWindow="0" yWindow="500" windowWidth="25660" windowHeight="16060" tabRatio="500" xr2:uid="{00000000-000D-0000-FFFF-FFFF00000000}"/>
  </bookViews>
  <sheets>
    <sheet name="S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2" i="1" l="1"/>
  <c r="B62" i="1"/>
  <c r="B63" i="1" s="1"/>
  <c r="B80" i="1"/>
  <c r="B102" i="1" s="1"/>
  <c r="B79" i="1"/>
  <c r="B77" i="1"/>
  <c r="B76" i="1"/>
  <c r="B100" i="1"/>
  <c r="B71" i="1"/>
  <c r="B101" i="1" s="1"/>
  <c r="B67" i="1"/>
  <c r="B66" i="1"/>
  <c r="B59" i="1"/>
  <c r="B58" i="1"/>
  <c r="B103" i="1" s="1"/>
  <c r="B49" i="1"/>
  <c r="B86" i="1" s="1"/>
  <c r="C38" i="1"/>
  <c r="B38" i="1"/>
  <c r="C35" i="1"/>
  <c r="B35" i="1"/>
  <c r="B78" i="1" s="1"/>
  <c r="C28" i="1"/>
  <c r="B28" i="1"/>
  <c r="C27" i="1"/>
  <c r="B26" i="1"/>
  <c r="C19" i="1"/>
  <c r="C18" i="1"/>
  <c r="B18" i="1"/>
  <c r="C16" i="1"/>
  <c r="C15" i="1"/>
  <c r="B15" i="1"/>
  <c r="B65" i="1" s="1"/>
  <c r="B68" i="1" l="1"/>
  <c r="B92" i="1"/>
  <c r="B74" i="1"/>
  <c r="B73" i="1"/>
  <c r="B97" i="1"/>
  <c r="B96" i="1"/>
  <c r="B16" i="1"/>
  <c r="B81" i="1"/>
  <c r="B99" i="1"/>
  <c r="B93" i="1" l="1"/>
  <c r="B69" i="1"/>
</calcChain>
</file>

<file path=xl/sharedStrings.xml><?xml version="1.0" encoding="utf-8"?>
<sst xmlns="http://schemas.openxmlformats.org/spreadsheetml/2006/main" count="165" uniqueCount="87">
  <si>
    <t>Charger Design</t>
  </si>
  <si>
    <t>Derrick Shen, Kiran Elango</t>
  </si>
  <si>
    <t>13/8/2026</t>
  </si>
  <si>
    <t>Charger design specifications</t>
  </si>
  <si>
    <t>Parameter</t>
  </si>
  <si>
    <t>Value</t>
  </si>
  <si>
    <t>Unit</t>
  </si>
  <si>
    <t>Vin(DC)</t>
  </si>
  <si>
    <t>V</t>
  </si>
  <si>
    <t>Vout(DC)</t>
  </si>
  <si>
    <t>Voltage regulation (ripple)</t>
  </si>
  <si>
    <t>&lt; 0.05</t>
  </si>
  <si>
    <t>-</t>
  </si>
  <si>
    <t>Max Iout(avg)</t>
  </si>
  <si>
    <t>A</t>
  </si>
  <si>
    <t>Efficiency(avg)</t>
  </si>
  <si>
    <t>&gt; 0.65</t>
  </si>
  <si>
    <t>Evaluating voltage divider parameters (Theoretical)</t>
  </si>
  <si>
    <t>Vref(DC)</t>
  </si>
  <si>
    <t>Vref / Vout</t>
  </si>
  <si>
    <t>Selected resistor to ground(Ra)</t>
  </si>
  <si>
    <t>Ω</t>
  </si>
  <si>
    <t>Resistor to Vout(Rb)</t>
  </si>
  <si>
    <t>E12 resistor to Vout(Rb)</t>
  </si>
  <si>
    <t>Evaluating current limiting transistor parameters (Theoretical)</t>
  </si>
  <si>
    <t>BC557B PNP VBE(on)</t>
  </si>
  <si>
    <t>Rsense</t>
  </si>
  <si>
    <t>E12 Rsense</t>
  </si>
  <si>
    <t>Actual Iout limit</t>
  </si>
  <si>
    <t>Evaluating OpAmp feedback parameters (Theoretical)</t>
  </si>
  <si>
    <t>Max supply rail voltage</t>
  </si>
  <si>
    <t>Min supply rail voltage</t>
  </si>
  <si>
    <t>Max LM358 output voltage</t>
  </si>
  <si>
    <t>LM358 sink current limit</t>
  </si>
  <si>
    <t>Rg</t>
  </si>
  <si>
    <t>Max sink current</t>
  </si>
  <si>
    <t>Derivation of circuit parameters</t>
  </si>
  <si>
    <t>Derivation</t>
  </si>
  <si>
    <t>Given design specification.</t>
  </si>
  <si>
    <t>Duty cycle (D)</t>
  </si>
  <si>
    <t>For an ideal buck converter in CCM, the output voltage equals the input voltage multiplied by the duty cycle:
  Vout = D × Vin
Rearranging:  D = Vout / Vin = 3.5 / 5 = 0.7</t>
  </si>
  <si>
    <t>Hz</t>
  </si>
  <si>
    <t>Steady-state operating conditions of each subsystem</t>
  </si>
  <si>
    <t>Iout(avg)</t>
  </si>
  <si>
    <t>Pout</t>
  </si>
  <si>
    <t>W</t>
  </si>
  <si>
    <t>Efficiency (target)</t>
  </si>
  <si>
    <t>Pin</t>
  </si>
  <si>
    <t>Ploss</t>
  </si>
  <si>
    <t>Selected resistor to ground (Ra)</t>
  </si>
  <si>
    <t>Ω</t>
  </si>
  <si>
    <t>E12 resistor to Vout (Rb)</t>
  </si>
  <si>
    <t>Vfb at regulation (Vout × Rb/(Ra+Rb))</t>
  </si>
  <si>
    <t>Error signal (Verror = Vref − Vfb)</t>
  </si>
  <si>
    <t>Actual Iout limit (|VBE| / Rsense)</t>
  </si>
  <si>
    <t>Sense voltage at Iout limit (Vsense = |VBE|)</t>
  </si>
  <si>
    <t>Max sink current (Vout / Rg)</t>
  </si>
  <si>
    <t>Derivation of control parameters</t>
  </si>
  <si>
    <t>Nominal duty cycle (D)</t>
  </si>
  <si>
    <t>Derived in circuit parameters section above:
  D = Vout / Vin</t>
  </si>
  <si>
    <t>Min duty cycle (stability margin)</t>
  </si>
  <si>
    <t>Minimum pulse width the PWM driver can reliably produce. Below this the converter may skip pulses.</t>
  </si>
  <si>
    <t>Max duty cycle (deadtime margin)</t>
  </si>
  <si>
    <t>Upper limit to ensure the low-side switch or diode has a minimum off-time for safe commutation.</t>
  </si>
  <si>
    <t>Feedback divider ratio (Rb / (Ra + Rb))</t>
  </si>
  <si>
    <t>The output is sensed via a resistor divider Ra (to GND) and Rb (to Vout).
At the inverting input of the LM358:
  Vfb = Vout × Rb / (Ra + Rb)
Regulation occurs when Vfb = Vref, so the ratio sets the output voltage.</t>
  </si>
  <si>
    <t>DC closed-loop gain (Acl = Vref / Vfb)</t>
  </si>
  <si>
    <t>V/V</t>
  </si>
  <si>
    <t>At the regulation point Vfb ≈ Vref, so Acl ≈ 1.
The LM358 open-loop gain is ~100 dB, providing large loop gain to minimise steady-state error.</t>
  </si>
  <si>
    <t>LM358 open-loop DC gain</t>
  </si>
  <si>
    <t>Datasheet value for LM358: ~100 dB ≈ 100,000 V/V.
High open-loop gain ensures the closed-loop error signal is driven to near zero.</t>
  </si>
  <si>
    <t>Gain-bandwidth product (GBW)</t>
  </si>
  <si>
    <t>Datasheet value: 1 MHz for LM358.
At the closed-loop bandwidth target, the available open-loop gain is GBW / f_target.</t>
  </si>
  <si>
    <t>Closed-loop bandwidth target (fs / 20)</t>
  </si>
  <si>
    <t>A standard design rule places the control bandwidth at fs/10 to fs/20 to avoid amplifying switching noise.
At this frequency the loop must still have sufficient phase margin (&gt;45°).</t>
  </si>
  <si>
    <t>Loop gain margin check (Aol / Acl)</t>
  </si>
  <si>
    <t>Ratio of open-loop to closed-loop gain. A large ratio confirms the OpAmp has ample gain headroom
to hold regulation accurately over the load range.</t>
  </si>
  <si>
    <t>Current limit threshold (= |VBE(on)|)</t>
  </si>
  <si>
    <t>The BC557B turns on when the voltage across Rsense reaches |VBE(on)| ≈ 0.62 V.
This clamps the gate drive, reducing the duty cycle and limiting Iout.</t>
  </si>
  <si>
    <t>Rsense (E12)</t>
  </si>
  <si>
    <t>Derived from the current limit condition:
  Rsense = |VBE| / Imax = 0.62 / 0.5 = 1.24 Ω
Nearest E12 value: 1.2 Ω (gives actual limit slightly above 0.5 A).</t>
  </si>
  <si>
    <t>Actual current limit (|VBE| / Rsense)</t>
  </si>
  <si>
    <t>Imax(actual) = |VBE| / Rsense
Slightly above 0.5 A due to E12 rounding of Rsense downward.</t>
  </si>
  <si>
    <t>Gate resistor Rg</t>
  </si>
  <si>
    <t>Limits the peak current the LM358 must sink when pulling the MOSFET gate low.
Also slows the gate transition slightly, reducing EMI.</t>
  </si>
  <si>
    <t>Max gate drive current (Vout / Rg)</t>
  </si>
  <si>
    <t>Worst-case gate sink current ≈ Vout / Rg.
Must be below LM358 sink limit of 20 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</si>
</sst>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b/>
      <u/>
      <sz val="18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8"/>
      <name val="Aptos Narrow"/>
    </font>
    <font>
      <sz val="11"/>
      <name val="Aptos Narrow"/>
    </font>
    <font>
      <sz val="10"/>
      <name val="Aptos Narrow"/>
    </font>
    <font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 tint="-0.14999847407452621"/>
        <bgColor rgb="FFC1E5F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/>
    <xf numFmtId="0" fontId="6" fillId="3" borderId="0"/>
  </cellStyleXfs>
  <cellXfs count="12">
    <xf numFmtId="0" fontId="0" fillId="0" borderId="0" xfId="0"/>
    <xf numFmtId="0" fontId="1" fillId="0" borderId="0" xfId="0" applyFont="1"/>
    <xf numFmtId="0" fontId="2" fillId="2" borderId="1" xfId="1"/>
    <xf numFmtId="0" fontId="6" fillId="3" borderId="0" xfId="2"/>
    <xf numFmtId="0" fontId="0" fillId="4" borderId="0" xfId="0" applyFill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1" fillId="0" borderId="0" xfId="2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2" fillId="0" borderId="1" xfId="1" applyFill="1"/>
  </cellXfs>
  <cellStyles count="3">
    <cellStyle name="Excel Built-in 20% - Accent1" xfId="2" xr:uid="{00000000-0005-0000-0000-000007000000}"/>
    <cellStyle name="Excel Built-in Check Cell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1E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302500</xdr:colOff>
      <xdr:row>13</xdr:row>
      <xdr:rowOff>121040</xdr:rowOff>
    </xdr:from>
    <xdr:to>
      <xdr:col>24</xdr:col>
      <xdr:colOff>84080</xdr:colOff>
      <xdr:row>35</xdr:row>
      <xdr:rowOff>142280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26100" y="2953140"/>
          <a:ext cx="11897380" cy="44789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zoomScale="89" zoomScaleNormal="100" workbookViewId="0">
      <selection activeCell="B81" sqref="B81"/>
    </sheetView>
  </sheetViews>
  <sheetFormatPr baseColWidth="10" defaultColWidth="8.83203125" defaultRowHeight="15" x14ac:dyDescent="0.2"/>
  <cols>
    <col min="1" max="1" width="35" customWidth="1"/>
    <col min="2" max="2" width="14" customWidth="1"/>
    <col min="3" max="3" width="8" customWidth="1"/>
    <col min="4" max="4" width="70" customWidth="1"/>
  </cols>
  <sheetData>
    <row r="1" spans="1:9" ht="24" customHeight="1" x14ac:dyDescent="0.3">
      <c r="A1" s="1" t="s">
        <v>0</v>
      </c>
      <c r="D1" s="1" t="s">
        <v>1</v>
      </c>
      <c r="H1" s="1"/>
      <c r="I1" s="1" t="s">
        <v>2</v>
      </c>
    </row>
    <row r="3" spans="1:9" ht="24" customHeight="1" x14ac:dyDescent="0.3">
      <c r="A3" s="1" t="s">
        <v>3</v>
      </c>
    </row>
    <row r="4" spans="1:9" ht="15.75" customHeight="1" x14ac:dyDescent="0.2"/>
    <row r="5" spans="1:9" ht="16.5" customHeight="1" x14ac:dyDescent="0.2">
      <c r="A5" s="2" t="s">
        <v>4</v>
      </c>
      <c r="B5" s="2" t="s">
        <v>5</v>
      </c>
      <c r="C5" s="2" t="s">
        <v>6</v>
      </c>
    </row>
    <row r="6" spans="1:9" ht="15.75" customHeight="1" x14ac:dyDescent="0.2">
      <c r="A6" s="3" t="s">
        <v>7</v>
      </c>
      <c r="B6" s="4">
        <v>5</v>
      </c>
      <c r="C6" s="5" t="s">
        <v>8</v>
      </c>
    </row>
    <row r="7" spans="1:9" x14ac:dyDescent="0.2">
      <c r="A7" s="3" t="s">
        <v>9</v>
      </c>
      <c r="B7" s="4">
        <v>3.5</v>
      </c>
      <c r="C7" s="5" t="s">
        <v>8</v>
      </c>
    </row>
    <row r="8" spans="1:9" x14ac:dyDescent="0.2">
      <c r="A8" s="3" t="s">
        <v>10</v>
      </c>
      <c r="B8" s="4" t="s">
        <v>11</v>
      </c>
      <c r="C8" s="5" t="s">
        <v>12</v>
      </c>
    </row>
    <row r="9" spans="1:9" x14ac:dyDescent="0.2">
      <c r="A9" s="3" t="s">
        <v>13</v>
      </c>
      <c r="B9" s="4">
        <v>0.5</v>
      </c>
      <c r="C9" s="5" t="s">
        <v>14</v>
      </c>
    </row>
    <row r="10" spans="1:9" x14ac:dyDescent="0.2">
      <c r="A10" s="3" t="s">
        <v>15</v>
      </c>
      <c r="B10" s="4" t="s">
        <v>16</v>
      </c>
      <c r="C10" s="5" t="s">
        <v>12</v>
      </c>
    </row>
    <row r="12" spans="1:9" ht="24" customHeight="1" x14ac:dyDescent="0.3">
      <c r="A12" s="1" t="s">
        <v>17</v>
      </c>
    </row>
    <row r="13" spans="1:9" ht="15.75" customHeight="1" x14ac:dyDescent="0.2"/>
    <row r="14" spans="1:9" ht="16.5" customHeight="1" x14ac:dyDescent="0.2">
      <c r="A14" s="2" t="s">
        <v>4</v>
      </c>
      <c r="B14" s="2" t="s">
        <v>5</v>
      </c>
      <c r="C14" s="2" t="s">
        <v>6</v>
      </c>
    </row>
    <row r="15" spans="1:9" ht="15.75" customHeight="1" x14ac:dyDescent="0.2">
      <c r="A15" s="3" t="s">
        <v>18</v>
      </c>
      <c r="B15" s="6">
        <f>B6/2</f>
        <v>2.5</v>
      </c>
      <c r="C15" t="str">
        <f>C6</f>
        <v>V</v>
      </c>
    </row>
    <row r="16" spans="1:9" x14ac:dyDescent="0.2">
      <c r="A16" s="3" t="s">
        <v>19</v>
      </c>
      <c r="B16" s="6">
        <f>B15/B7</f>
        <v>0.7142857142857143</v>
      </c>
      <c r="C16" t="str">
        <f>C7</f>
        <v>V</v>
      </c>
    </row>
    <row r="17" spans="1:3" x14ac:dyDescent="0.2">
      <c r="A17" s="3" t="s">
        <v>20</v>
      </c>
      <c r="B17" s="6">
        <v>8200</v>
      </c>
      <c r="C17" t="s">
        <v>21</v>
      </c>
    </row>
    <row r="18" spans="1:3" x14ac:dyDescent="0.2">
      <c r="A18" s="3" t="s">
        <v>22</v>
      </c>
      <c r="B18" s="6">
        <f>B17/2.5</f>
        <v>3280</v>
      </c>
      <c r="C18" t="str">
        <f>C17</f>
        <v>Ω</v>
      </c>
    </row>
    <row r="19" spans="1:3" x14ac:dyDescent="0.2">
      <c r="A19" s="3" t="s">
        <v>23</v>
      </c>
      <c r="B19" s="6">
        <v>3300</v>
      </c>
      <c r="C19" t="str">
        <f>C17</f>
        <v>Ω</v>
      </c>
    </row>
    <row r="21" spans="1:3" ht="24" customHeight="1" x14ac:dyDescent="0.3">
      <c r="A21" s="7" t="s">
        <v>24</v>
      </c>
    </row>
    <row r="22" spans="1:3" ht="15.75" customHeight="1" x14ac:dyDescent="0.2"/>
    <row r="23" spans="1:3" ht="16.5" customHeight="1" x14ac:dyDescent="0.2">
      <c r="A23" s="2" t="s">
        <v>4</v>
      </c>
      <c r="B23" s="2" t="s">
        <v>5</v>
      </c>
      <c r="C23" s="2" t="s">
        <v>6</v>
      </c>
    </row>
    <row r="24" spans="1:3" ht="15.75" customHeight="1" x14ac:dyDescent="0.2">
      <c r="A24" s="3" t="s">
        <v>13</v>
      </c>
      <c r="B24" s="6">
        <v>0.5</v>
      </c>
      <c r="C24" t="s">
        <v>14</v>
      </c>
    </row>
    <row r="25" spans="1:3" x14ac:dyDescent="0.2">
      <c r="A25" s="3" t="s">
        <v>25</v>
      </c>
      <c r="B25" s="6">
        <v>-0.62</v>
      </c>
      <c r="C25" t="s">
        <v>8</v>
      </c>
    </row>
    <row r="26" spans="1:3" x14ac:dyDescent="0.2">
      <c r="A26" s="3" t="s">
        <v>26</v>
      </c>
      <c r="B26" s="6">
        <f>-B25/B24</f>
        <v>1.24</v>
      </c>
      <c r="C26" t="s">
        <v>21</v>
      </c>
    </row>
    <row r="27" spans="1:3" x14ac:dyDescent="0.2">
      <c r="A27" s="3" t="s">
        <v>27</v>
      </c>
      <c r="B27" s="6">
        <v>1.47</v>
      </c>
      <c r="C27" t="str">
        <f>C26</f>
        <v>Ω</v>
      </c>
    </row>
    <row r="28" spans="1:3" x14ac:dyDescent="0.2">
      <c r="A28" s="3" t="s">
        <v>28</v>
      </c>
      <c r="B28" s="6">
        <f>-B25/B27</f>
        <v>0.42176870748299322</v>
      </c>
      <c r="C28" t="str">
        <f>C24</f>
        <v>A</v>
      </c>
    </row>
    <row r="30" spans="1:3" ht="24" customHeight="1" x14ac:dyDescent="0.3">
      <c r="A30" s="7" t="s">
        <v>29</v>
      </c>
    </row>
    <row r="31" spans="1:3" ht="15.75" customHeight="1" x14ac:dyDescent="0.2"/>
    <row r="32" spans="1:3" ht="16.5" customHeight="1" x14ac:dyDescent="0.2">
      <c r="A32" s="2" t="s">
        <v>4</v>
      </c>
      <c r="B32" s="2" t="s">
        <v>5</v>
      </c>
      <c r="C32" s="2" t="s">
        <v>6</v>
      </c>
    </row>
    <row r="33" spans="1:4" ht="15.75" customHeight="1" x14ac:dyDescent="0.2">
      <c r="A33" t="s">
        <v>30</v>
      </c>
      <c r="B33">
        <v>5</v>
      </c>
      <c r="C33" t="s">
        <v>8</v>
      </c>
    </row>
    <row r="34" spans="1:4" x14ac:dyDescent="0.2">
      <c r="A34" t="s">
        <v>31</v>
      </c>
      <c r="B34">
        <v>0</v>
      </c>
      <c r="C34" t="s">
        <v>8</v>
      </c>
    </row>
    <row r="35" spans="1:4" x14ac:dyDescent="0.2">
      <c r="A35" t="s">
        <v>32</v>
      </c>
      <c r="B35">
        <f>B33-1.5</f>
        <v>3.5</v>
      </c>
      <c r="C35" t="str">
        <f>C33</f>
        <v>V</v>
      </c>
    </row>
    <row r="36" spans="1:4" x14ac:dyDescent="0.2">
      <c r="A36" t="s">
        <v>33</v>
      </c>
      <c r="B36">
        <v>0.02</v>
      </c>
      <c r="C36" t="s">
        <v>14</v>
      </c>
    </row>
    <row r="37" spans="1:4" x14ac:dyDescent="0.2">
      <c r="A37" t="s">
        <v>34</v>
      </c>
      <c r="B37">
        <v>330</v>
      </c>
      <c r="C37" t="s">
        <v>21</v>
      </c>
    </row>
    <row r="38" spans="1:4" x14ac:dyDescent="0.2">
      <c r="A38" t="s">
        <v>35</v>
      </c>
      <c r="B38">
        <f>B33/B37</f>
        <v>1.5151515151515152E-2</v>
      </c>
      <c r="C38" t="str">
        <f>C36</f>
        <v>A</v>
      </c>
    </row>
    <row r="42" spans="1:4" ht="24.75" customHeight="1" x14ac:dyDescent="0.3">
      <c r="A42" s="7"/>
    </row>
    <row r="43" spans="1:4" ht="16.5" customHeight="1" x14ac:dyDescent="0.2">
      <c r="A43" s="11"/>
      <c r="B43" s="11"/>
      <c r="C43" s="11"/>
    </row>
    <row r="44" spans="1:4" ht="24" customHeight="1" x14ac:dyDescent="0.3">
      <c r="A44" s="8" t="s">
        <v>36</v>
      </c>
    </row>
    <row r="45" spans="1:4" ht="15.75" customHeight="1" x14ac:dyDescent="0.2"/>
    <row r="46" spans="1:4" ht="16.5" customHeight="1" x14ac:dyDescent="0.2">
      <c r="A46" s="2" t="s">
        <v>4</v>
      </c>
      <c r="B46" s="2" t="s">
        <v>5</v>
      </c>
      <c r="C46" s="2" t="s">
        <v>6</v>
      </c>
      <c r="D46" s="2" t="s">
        <v>37</v>
      </c>
    </row>
    <row r="47" spans="1:4" ht="15.75" customHeight="1" x14ac:dyDescent="0.2">
      <c r="A47" s="9" t="s">
        <v>7</v>
      </c>
      <c r="B47" s="9">
        <v>5</v>
      </c>
      <c r="C47" s="9" t="s">
        <v>8</v>
      </c>
      <c r="D47" s="10" t="s">
        <v>38</v>
      </c>
    </row>
    <row r="48" spans="1:4" ht="15.75" customHeight="1" x14ac:dyDescent="0.2">
      <c r="A48" s="9" t="s">
        <v>9</v>
      </c>
      <c r="B48" s="9">
        <v>3.5</v>
      </c>
      <c r="C48" s="9" t="s">
        <v>8</v>
      </c>
      <c r="D48" s="10" t="s">
        <v>38</v>
      </c>
    </row>
    <row r="49" spans="1:4" ht="60" customHeight="1" x14ac:dyDescent="0.2">
      <c r="A49" s="9" t="s">
        <v>39</v>
      </c>
      <c r="B49" s="9">
        <f>B48/B47</f>
        <v>0.7</v>
      </c>
      <c r="C49" s="9" t="s">
        <v>12</v>
      </c>
      <c r="D49" s="10" t="s">
        <v>40</v>
      </c>
    </row>
    <row r="50" spans="1:4" ht="15.75" customHeight="1" x14ac:dyDescent="0.2">
      <c r="A50" s="9" t="s">
        <v>13</v>
      </c>
      <c r="B50" s="9">
        <v>0.5</v>
      </c>
      <c r="C50" s="9" t="s">
        <v>14</v>
      </c>
      <c r="D50" s="10" t="s">
        <v>38</v>
      </c>
    </row>
    <row r="51" spans="1:4" ht="15.75" customHeight="1" x14ac:dyDescent="0.2">
      <c r="A51" s="9"/>
      <c r="B51" s="9"/>
      <c r="C51" s="9"/>
      <c r="D51" s="10"/>
    </row>
    <row r="52" spans="1:4" ht="45" customHeight="1" x14ac:dyDescent="0.2">
      <c r="A52" s="9"/>
      <c r="B52" s="9"/>
      <c r="C52" s="9"/>
    </row>
    <row r="53" spans="1:4" ht="79.5" customHeight="1" x14ac:dyDescent="0.2">
      <c r="A53" s="9"/>
      <c r="B53" s="9"/>
      <c r="C53" s="9"/>
      <c r="D53" s="10"/>
    </row>
    <row r="55" spans="1:4" ht="24" customHeight="1" x14ac:dyDescent="0.3">
      <c r="A55" s="8" t="s">
        <v>42</v>
      </c>
    </row>
    <row r="56" spans="1:4" ht="15.75" customHeight="1" x14ac:dyDescent="0.2"/>
    <row r="57" spans="1:4" ht="16.5" customHeight="1" x14ac:dyDescent="0.2">
      <c r="A57" s="2" t="s">
        <v>4</v>
      </c>
      <c r="B57" s="2" t="s">
        <v>5</v>
      </c>
      <c r="C57" s="2" t="s">
        <v>6</v>
      </c>
    </row>
    <row r="58" spans="1:4" ht="15.75" customHeight="1" x14ac:dyDescent="0.2">
      <c r="A58" s="9" t="s">
        <v>9</v>
      </c>
      <c r="B58" s="9">
        <f>B48</f>
        <v>3.5</v>
      </c>
      <c r="C58" s="9" t="s">
        <v>8</v>
      </c>
    </row>
    <row r="59" spans="1:4" ht="15.75" customHeight="1" x14ac:dyDescent="0.2">
      <c r="A59" s="9" t="s">
        <v>43</v>
      </c>
      <c r="B59" s="9">
        <f>B51</f>
        <v>0</v>
      </c>
      <c r="C59" s="9" t="s">
        <v>14</v>
      </c>
    </row>
    <row r="60" spans="1:4" ht="15.75" customHeight="1" x14ac:dyDescent="0.2">
      <c r="A60" s="9" t="s">
        <v>44</v>
      </c>
      <c r="B60" s="9">
        <v>0.75</v>
      </c>
      <c r="C60" s="9" t="s">
        <v>45</v>
      </c>
    </row>
    <row r="61" spans="1:4" ht="15.75" customHeight="1" x14ac:dyDescent="0.2">
      <c r="A61" s="9" t="s">
        <v>46</v>
      </c>
      <c r="B61">
        <v>0.66500000000000004</v>
      </c>
      <c r="C61" s="9" t="s">
        <v>12</v>
      </c>
    </row>
    <row r="62" spans="1:4" ht="15.75" customHeight="1" x14ac:dyDescent="0.2">
      <c r="A62" s="9" t="s">
        <v>47</v>
      </c>
      <c r="B62" s="9">
        <f>B60/B61</f>
        <v>1.1278195488721805</v>
      </c>
      <c r="C62" s="9" t="s">
        <v>45</v>
      </c>
    </row>
    <row r="63" spans="1:4" ht="15.75" customHeight="1" x14ac:dyDescent="0.2">
      <c r="A63" s="9" t="s">
        <v>48</v>
      </c>
      <c r="B63" s="9">
        <f>B62-B60</f>
        <v>0.3778195488721805</v>
      </c>
      <c r="C63" s="9" t="s">
        <v>45</v>
      </c>
    </row>
    <row r="65" spans="1:3" ht="15.75" customHeight="1" x14ac:dyDescent="0.2">
      <c r="A65" s="9" t="s">
        <v>18</v>
      </c>
      <c r="B65" s="9">
        <f>B15</f>
        <v>2.5</v>
      </c>
      <c r="C65" s="9" t="s">
        <v>8</v>
      </c>
    </row>
    <row r="66" spans="1:3" ht="15.75" customHeight="1" x14ac:dyDescent="0.2">
      <c r="A66" s="9" t="s">
        <v>49</v>
      </c>
      <c r="B66" s="9">
        <f>B17</f>
        <v>8200</v>
      </c>
      <c r="C66" s="9" t="s">
        <v>50</v>
      </c>
    </row>
    <row r="67" spans="1:3" ht="15.75" customHeight="1" x14ac:dyDescent="0.2">
      <c r="A67" s="9" t="s">
        <v>51</v>
      </c>
      <c r="B67" s="9">
        <f>B19</f>
        <v>3300</v>
      </c>
      <c r="C67" s="9" t="s">
        <v>50</v>
      </c>
    </row>
    <row r="68" spans="1:3" ht="15.75" customHeight="1" x14ac:dyDescent="0.2">
      <c r="A68" s="9" t="s">
        <v>52</v>
      </c>
      <c r="B68" s="9">
        <f>B58*B66/(B66+B67)</f>
        <v>2.4956521739130433</v>
      </c>
      <c r="C68" s="9" t="s">
        <v>8</v>
      </c>
    </row>
    <row r="69" spans="1:3" ht="15.75" customHeight="1" x14ac:dyDescent="0.2">
      <c r="A69" s="9" t="s">
        <v>53</v>
      </c>
      <c r="B69" s="9">
        <f>B65-B68</f>
        <v>4.3478260869567187E-3</v>
      </c>
      <c r="C69" s="9" t="s">
        <v>8</v>
      </c>
    </row>
    <row r="71" spans="1:3" ht="15.75" customHeight="1" x14ac:dyDescent="0.2">
      <c r="A71" s="9" t="s">
        <v>25</v>
      </c>
      <c r="B71" s="9">
        <f>B25</f>
        <v>-0.62</v>
      </c>
      <c r="C71" s="9" t="s">
        <v>8</v>
      </c>
    </row>
    <row r="72" spans="1:3" ht="15.75" customHeight="1" x14ac:dyDescent="0.2">
      <c r="A72" s="9" t="s">
        <v>27</v>
      </c>
      <c r="B72" s="9">
        <f>B27</f>
        <v>1.47</v>
      </c>
      <c r="C72" s="9" t="s">
        <v>50</v>
      </c>
    </row>
    <row r="73" spans="1:3" ht="15.75" customHeight="1" x14ac:dyDescent="0.2">
      <c r="A73" s="9" t="s">
        <v>54</v>
      </c>
      <c r="B73" s="9">
        <f>-B71/B72</f>
        <v>0.42176870748299322</v>
      </c>
      <c r="C73" s="9" t="s">
        <v>14</v>
      </c>
    </row>
    <row r="74" spans="1:3" ht="15.75" customHeight="1" x14ac:dyDescent="0.2">
      <c r="A74" s="9" t="s">
        <v>55</v>
      </c>
      <c r="B74" s="9">
        <f>-B71</f>
        <v>0.62</v>
      </c>
      <c r="C74" s="9" t="s">
        <v>8</v>
      </c>
    </row>
    <row r="76" spans="1:3" ht="15.75" customHeight="1" x14ac:dyDescent="0.2">
      <c r="A76" s="9" t="s">
        <v>30</v>
      </c>
      <c r="B76" s="9">
        <f>B33</f>
        <v>5</v>
      </c>
      <c r="C76" s="9" t="s">
        <v>8</v>
      </c>
    </row>
    <row r="77" spans="1:3" ht="15.75" customHeight="1" x14ac:dyDescent="0.2">
      <c r="A77" s="9" t="s">
        <v>31</v>
      </c>
      <c r="B77" s="9">
        <f>B34</f>
        <v>0</v>
      </c>
      <c r="C77" s="9" t="s">
        <v>8</v>
      </c>
    </row>
    <row r="78" spans="1:3" ht="15.75" customHeight="1" x14ac:dyDescent="0.2">
      <c r="A78" s="9" t="s">
        <v>32</v>
      </c>
      <c r="B78" s="9">
        <f>B35</f>
        <v>3.5</v>
      </c>
      <c r="C78" s="9" t="s">
        <v>8</v>
      </c>
    </row>
    <row r="79" spans="1:3" ht="15.75" customHeight="1" x14ac:dyDescent="0.2">
      <c r="A79" s="9" t="s">
        <v>33</v>
      </c>
      <c r="B79" s="9">
        <f>B36</f>
        <v>0.02</v>
      </c>
      <c r="C79" s="9" t="s">
        <v>14</v>
      </c>
    </row>
    <row r="80" spans="1:3" ht="15.75" customHeight="1" x14ac:dyDescent="0.2">
      <c r="A80" s="9" t="s">
        <v>34</v>
      </c>
      <c r="B80" s="9">
        <f>B37</f>
        <v>330</v>
      </c>
      <c r="C80" s="9" t="s">
        <v>50</v>
      </c>
    </row>
    <row r="81" spans="1:4" ht="15.75" customHeight="1" x14ac:dyDescent="0.2">
      <c r="A81" s="9" t="s">
        <v>56</v>
      </c>
      <c r="B81" s="9">
        <f>B58/B80</f>
        <v>1.0606060606060607E-2</v>
      </c>
      <c r="C81" s="9" t="s">
        <v>14</v>
      </c>
    </row>
    <row r="83" spans="1:4" ht="24" customHeight="1" x14ac:dyDescent="0.3">
      <c r="A83" s="8" t="s">
        <v>57</v>
      </c>
    </row>
    <row r="84" spans="1:4" ht="15.75" customHeight="1" x14ac:dyDescent="0.2"/>
    <row r="85" spans="1:4" ht="16.5" customHeight="1" x14ac:dyDescent="0.2">
      <c r="A85" s="2" t="s">
        <v>4</v>
      </c>
      <c r="B85" s="2" t="s">
        <v>5</v>
      </c>
      <c r="C85" s="2" t="s">
        <v>6</v>
      </c>
      <c r="D85" s="2" t="s">
        <v>37</v>
      </c>
    </row>
    <row r="86" spans="1:4" ht="34.5" customHeight="1" x14ac:dyDescent="0.2">
      <c r="A86" s="9" t="s">
        <v>58</v>
      </c>
      <c r="B86" s="9">
        <f>B49</f>
        <v>0.7</v>
      </c>
      <c r="C86" s="9" t="s">
        <v>12</v>
      </c>
      <c r="D86" s="10" t="s">
        <v>59</v>
      </c>
    </row>
    <row r="87" spans="1:4" ht="15.75" customHeight="1" x14ac:dyDescent="0.2">
      <c r="A87" s="9"/>
      <c r="B87" s="9"/>
      <c r="C87" s="9"/>
      <c r="D87" s="10"/>
    </row>
    <row r="88" spans="1:4" ht="49.5" customHeight="1" x14ac:dyDescent="0.2">
      <c r="A88" s="9"/>
      <c r="B88" s="9"/>
      <c r="C88" s="9"/>
      <c r="D88" s="10"/>
    </row>
    <row r="89" spans="1:4" ht="34.5" customHeight="1" x14ac:dyDescent="0.2">
      <c r="A89" s="9" t="s">
        <v>60</v>
      </c>
      <c r="B89" s="9">
        <v>0.2</v>
      </c>
      <c r="C89" s="9" t="s">
        <v>12</v>
      </c>
      <c r="D89" s="10" t="s">
        <v>61</v>
      </c>
    </row>
    <row r="90" spans="1:4" ht="34.5" customHeight="1" x14ac:dyDescent="0.2">
      <c r="A90" s="9" t="s">
        <v>62</v>
      </c>
      <c r="B90" s="9">
        <v>0.95</v>
      </c>
      <c r="C90" s="9" t="s">
        <v>12</v>
      </c>
      <c r="D90" s="10" t="s">
        <v>63</v>
      </c>
    </row>
    <row r="92" spans="1:4" ht="69.75" customHeight="1" x14ac:dyDescent="0.2">
      <c r="A92" s="9" t="s">
        <v>64</v>
      </c>
      <c r="B92" s="9">
        <f>B67/(B66+B67)</f>
        <v>0.28695652173913044</v>
      </c>
      <c r="C92" s="9" t="s">
        <v>12</v>
      </c>
      <c r="D92" s="10" t="s">
        <v>65</v>
      </c>
    </row>
    <row r="93" spans="1:4" ht="49.5" customHeight="1" x14ac:dyDescent="0.2">
      <c r="A93" s="9" t="s">
        <v>66</v>
      </c>
      <c r="B93" s="9">
        <f>B65/B68</f>
        <v>1.0017421602787457</v>
      </c>
      <c r="C93" s="9" t="s">
        <v>67</v>
      </c>
      <c r="D93" s="10" t="s">
        <v>68</v>
      </c>
    </row>
    <row r="94" spans="1:4" ht="45" customHeight="1" x14ac:dyDescent="0.2">
      <c r="A94" s="9" t="s">
        <v>69</v>
      </c>
      <c r="B94" s="9">
        <v>100000</v>
      </c>
      <c r="C94" s="9" t="s">
        <v>67</v>
      </c>
      <c r="D94" s="10" t="s">
        <v>70</v>
      </c>
    </row>
    <row r="95" spans="1:4" ht="45" customHeight="1" x14ac:dyDescent="0.2">
      <c r="A95" s="9" t="s">
        <v>71</v>
      </c>
      <c r="B95" s="9">
        <v>1000000</v>
      </c>
      <c r="C95" s="9" t="s">
        <v>41</v>
      </c>
      <c r="D95" s="10" t="s">
        <v>72</v>
      </c>
    </row>
    <row r="96" spans="1:4" ht="49.5" customHeight="1" x14ac:dyDescent="0.2">
      <c r="A96" s="9" t="s">
        <v>73</v>
      </c>
      <c r="B96" s="9">
        <f>B87/20</f>
        <v>0</v>
      </c>
      <c r="C96" s="9" t="s">
        <v>41</v>
      </c>
      <c r="D96" s="10" t="s">
        <v>74</v>
      </c>
    </row>
    <row r="97" spans="1:4" ht="45" customHeight="1" x14ac:dyDescent="0.2">
      <c r="A97" s="9" t="s">
        <v>75</v>
      </c>
      <c r="B97" s="9">
        <f>100000/(B65/B68)</f>
        <v>99826.086956521729</v>
      </c>
      <c r="C97" s="9" t="s">
        <v>12</v>
      </c>
      <c r="D97" s="10" t="s">
        <v>76</v>
      </c>
    </row>
    <row r="99" spans="1:4" ht="49.5" customHeight="1" x14ac:dyDescent="0.2">
      <c r="A99" s="9" t="s">
        <v>77</v>
      </c>
      <c r="B99" s="9">
        <f>-B71</f>
        <v>0.62</v>
      </c>
      <c r="C99" s="9" t="s">
        <v>8</v>
      </c>
      <c r="D99" s="10" t="s">
        <v>78</v>
      </c>
    </row>
    <row r="100" spans="1:4" ht="60" customHeight="1" x14ac:dyDescent="0.2">
      <c r="A100" s="9" t="s">
        <v>79</v>
      </c>
      <c r="B100" s="9">
        <f>B72</f>
        <v>1.47</v>
      </c>
      <c r="C100" s="9" t="s">
        <v>50</v>
      </c>
      <c r="D100" s="10" t="s">
        <v>80</v>
      </c>
    </row>
    <row r="101" spans="1:4" ht="45" customHeight="1" x14ac:dyDescent="0.2">
      <c r="A101" s="9" t="s">
        <v>81</v>
      </c>
      <c r="B101" s="9">
        <f>-B71/B72</f>
        <v>0.42176870748299322</v>
      </c>
      <c r="C101" s="9" t="s">
        <v>14</v>
      </c>
      <c r="D101" s="10" t="s">
        <v>82</v>
      </c>
    </row>
    <row r="102" spans="1:4" ht="45" customHeight="1" x14ac:dyDescent="0.2">
      <c r="A102" s="9" t="s">
        <v>83</v>
      </c>
      <c r="B102" s="9">
        <f>B80</f>
        <v>330</v>
      </c>
      <c r="C102" s="9" t="s">
        <v>50</v>
      </c>
      <c r="D102" s="10" t="s">
        <v>84</v>
      </c>
    </row>
    <row r="103" spans="1:4" ht="45" customHeight="1" x14ac:dyDescent="0.2">
      <c r="A103" s="9" t="s">
        <v>85</v>
      </c>
      <c r="B103" s="9">
        <f>B58/B80</f>
        <v>1.0606060606060607E-2</v>
      </c>
      <c r="C103" s="9" t="s">
        <v>14</v>
      </c>
      <c r="D103" s="10" t="s">
        <v>86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Derrick Shen</dc:creator>
  <dc:description/>
  <cp:lastModifiedBy>Kiran Elango</cp:lastModifiedBy>
  <cp:revision>0</cp:revision>
  <dcterms:created xsi:type="dcterms:W3CDTF">2026-08-12T22:32:32Z</dcterms:created>
  <dcterms:modified xsi:type="dcterms:W3CDTF">2026-08-25T02:11:15Z</dcterms:modified>
  <dc:language>en-US</dc:language>
</cp:coreProperties>
</file>