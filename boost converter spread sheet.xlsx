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onf\Desktop\311\ELECTENG311Project\"/>
    </mc:Choice>
  </mc:AlternateContent>
  <xr:revisionPtr revIDLastSave="0" documentId="13_ncr:1_{E74DB0CE-3C6F-4B70-8EE9-8D09B6B1AA00}" xr6:coauthVersionLast="47" xr6:coauthVersionMax="47" xr10:uidLastSave="{00000000-0000-0000-0000-000000000000}"/>
  <bookViews>
    <workbookView xWindow="4170" yWindow="3555" windowWidth="21600" windowHeight="11295" xr2:uid="{0EA872C3-4804-43CB-9F0B-5F94DB7B4351}"/>
  </bookViews>
  <sheets>
    <sheet name="SS_Analysis" sheetId="1" r:id="rId1"/>
    <sheet name="Inductor_Desig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6" i="2" l="1"/>
  <c r="D99" i="1" l="1"/>
  <c r="F40" i="1"/>
  <c r="F99" i="1" s="1"/>
  <c r="H40" i="1"/>
  <c r="J40" i="1"/>
  <c r="D41" i="1"/>
  <c r="D43" i="1" s="1"/>
  <c r="F41" i="1"/>
  <c r="F43" i="1" s="1"/>
  <c r="H41" i="1"/>
  <c r="J41" i="1"/>
  <c r="J43" i="1" s="1"/>
  <c r="F47" i="1"/>
  <c r="H47" i="1"/>
  <c r="J47" i="1"/>
  <c r="D50" i="1"/>
  <c r="F50" i="1"/>
  <c r="H50" i="1"/>
  <c r="J50" i="1"/>
  <c r="D51" i="1"/>
  <c r="F51" i="1"/>
  <c r="H51" i="1"/>
  <c r="J51" i="1"/>
  <c r="B51" i="1"/>
  <c r="B50" i="1"/>
  <c r="B41" i="1"/>
  <c r="B43" i="1" s="1"/>
  <c r="J52" i="1" l="1"/>
  <c r="H52" i="1"/>
  <c r="F52" i="1"/>
  <c r="J42" i="1"/>
  <c r="J46" i="1" s="1"/>
  <c r="H42" i="1"/>
  <c r="H45" i="1" s="1"/>
  <c r="H43" i="1"/>
  <c r="F42" i="1"/>
  <c r="B11" i="2"/>
  <c r="B6" i="2"/>
  <c r="J44" i="1" l="1"/>
  <c r="J48" i="1"/>
  <c r="J49" i="1"/>
  <c r="H44" i="1"/>
  <c r="J45" i="1"/>
  <c r="H46" i="1"/>
  <c r="H49" i="1" s="1"/>
  <c r="F46" i="1"/>
  <c r="F45" i="1"/>
  <c r="F44" i="1"/>
  <c r="D39" i="1"/>
  <c r="D40" i="1" s="1"/>
  <c r="B39" i="1"/>
  <c r="B40" i="1" s="1"/>
  <c r="F58" i="1"/>
  <c r="J59" i="1"/>
  <c r="D59" i="1"/>
  <c r="J99" i="1"/>
  <c r="H58" i="1"/>
  <c r="H48" i="1" l="1"/>
  <c r="D47" i="1"/>
  <c r="D52" i="1" s="1"/>
  <c r="F49" i="1"/>
  <c r="F48" i="1"/>
  <c r="B47" i="1"/>
  <c r="B52" i="1" s="1"/>
  <c r="B99" i="1"/>
  <c r="B59" i="1"/>
  <c r="B7" i="2"/>
  <c r="F59" i="1"/>
  <c r="H59" i="1"/>
  <c r="H99" i="1"/>
  <c r="J58" i="1"/>
  <c r="D42" i="1" l="1"/>
  <c r="B58" i="1"/>
  <c r="B42" i="1"/>
  <c r="B45" i="1" s="1"/>
  <c r="D58" i="1"/>
  <c r="B9" i="2"/>
  <c r="B8" i="2"/>
  <c r="D44" i="1" l="1"/>
  <c r="D46" i="1"/>
  <c r="D45" i="1"/>
  <c r="B46" i="1"/>
  <c r="B49" i="1" s="1"/>
  <c r="B44" i="1"/>
  <c r="D49" i="1" l="1"/>
  <c r="D48" i="1"/>
  <c r="B48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<sst xmlns="http://schemas.openxmlformats.org/spreadsheetml/2006/main" count="384" uniqueCount="157">
  <si>
    <t>Parameter</t>
  </si>
  <si>
    <t>Value</t>
  </si>
  <si>
    <t>Unit</t>
  </si>
  <si>
    <t>V</t>
  </si>
  <si>
    <t>W</t>
  </si>
  <si>
    <t>Operating fs</t>
  </si>
  <si>
    <t>kHz</t>
  </si>
  <si>
    <t>Unit (eq)</t>
  </si>
  <si>
    <t>µH</t>
  </si>
  <si>
    <t>Evaluating Output Capacitor (Theoretical)</t>
  </si>
  <si>
    <t>Max Vo Ripple</t>
  </si>
  <si>
    <t>Min Co</t>
  </si>
  <si>
    <t>Selected Co</t>
  </si>
  <si>
    <t>Evaluating Steady-State Operating Conditions (Theoretical)</t>
  </si>
  <si>
    <t>Vout</t>
  </si>
  <si>
    <t>Pout</t>
  </si>
  <si>
    <t>RLoad</t>
  </si>
  <si>
    <t>Operating D</t>
  </si>
  <si>
    <t>DCM Achieved</t>
  </si>
  <si>
    <t>Validating Steady-State Operating Conditions (Open-Loop Simulations)</t>
  </si>
  <si>
    <t xml:space="preserve">Ohms </t>
  </si>
  <si>
    <t xml:space="preserve">A </t>
  </si>
  <si>
    <t>UC3843 &amp; PI Controller Parameters (Theoretical)</t>
  </si>
  <si>
    <t>Vref for 5V Output</t>
  </si>
  <si>
    <t>Ohms</t>
  </si>
  <si>
    <t>nF</t>
  </si>
  <si>
    <t xml:space="preserve">kOhms </t>
  </si>
  <si>
    <t>Rva</t>
  </si>
  <si>
    <t>Rvb</t>
  </si>
  <si>
    <t>kOhms</t>
  </si>
  <si>
    <t>Selected Kp</t>
  </si>
  <si>
    <t>Selected Ki</t>
  </si>
  <si>
    <t>Validating PI Controller Operation (Closed-Loop Simulations)</t>
  </si>
  <si>
    <t>Vref</t>
  </si>
  <si>
    <t>Steady State Vout</t>
  </si>
  <si>
    <t>Settling Time (+/- 5%)</t>
  </si>
  <si>
    <t>ms</t>
  </si>
  <si>
    <t>Max Vin(avg)</t>
  </si>
  <si>
    <t>Min Vin(avg)</t>
  </si>
  <si>
    <t>Nominal Vout(avg)</t>
  </si>
  <si>
    <t>Vin</t>
  </si>
  <si>
    <t>Min Operating D</t>
  </si>
  <si>
    <t>Max Operating D</t>
  </si>
  <si>
    <t>A</t>
  </si>
  <si>
    <t>D for Max L for CCM</t>
  </si>
  <si>
    <t>Min L for CCM</t>
  </si>
  <si>
    <t>dIL</t>
  </si>
  <si>
    <t>Iin(avg) = IL(avg)</t>
  </si>
  <si>
    <t>Iin(rms) = IL(rms)</t>
  </si>
  <si>
    <t>Iin(pk) = IL(pk)</t>
  </si>
  <si>
    <t>Iout(avg) = ID(avg)</t>
  </si>
  <si>
    <t>IC(rms)</t>
  </si>
  <si>
    <t>ISw(rms)</t>
  </si>
  <si>
    <t>VSw(max)</t>
  </si>
  <si>
    <t>VD(max)</t>
  </si>
  <si>
    <t>dVout</t>
  </si>
  <si>
    <t>Evaluating Key Inductor Parameters for CCM (Theoretical)</t>
  </si>
  <si>
    <t>Max Pout(avg)</t>
  </si>
  <si>
    <t>Min Pout(avg)</t>
  </si>
  <si>
    <t>Boost Conveter Design - Part I</t>
  </si>
  <si>
    <t>Max IL(avg) = Iin(avg)</t>
  </si>
  <si>
    <t>Min IL(avg) = Iin(avg)</t>
  </si>
  <si>
    <t>Transformer Design Specifications</t>
  </si>
  <si>
    <t>Max Bmax</t>
  </si>
  <si>
    <t>T</t>
  </si>
  <si>
    <t>Core, Former &amp; Magnet Wire Details</t>
  </si>
  <si>
    <t>Core type</t>
  </si>
  <si>
    <t>EFD20</t>
  </si>
  <si>
    <t>Core material</t>
  </si>
  <si>
    <t>N97</t>
  </si>
  <si>
    <t>Ae</t>
  </si>
  <si>
    <t>mm^2</t>
  </si>
  <si>
    <t>le</t>
  </si>
  <si>
    <t>mm</t>
  </si>
  <si>
    <t>Ve</t>
  </si>
  <si>
    <t>mm^3</t>
  </si>
  <si>
    <t>AN</t>
  </si>
  <si>
    <t>ln</t>
  </si>
  <si>
    <t>Wire ρ</t>
  </si>
  <si>
    <t>Ωm</t>
  </si>
  <si>
    <t>µ0</t>
  </si>
  <si>
    <t>H/m</t>
  </si>
  <si>
    <t>µe</t>
  </si>
  <si>
    <t>Achievable Kf</t>
  </si>
  <si>
    <t>Evaluating Inductor Parameters</t>
  </si>
  <si>
    <t>Selected lg</t>
  </si>
  <si>
    <t>Np</t>
  </si>
  <si>
    <t>Bmax</t>
  </si>
  <si>
    <t>Bmax &lt; Max Bmax</t>
  </si>
  <si>
    <t>Skin Depth</t>
  </si>
  <si>
    <t xml:space="preserve">Max Rdc Loss in Lp </t>
  </si>
  <si>
    <t>uH</t>
  </si>
  <si>
    <t>Inductor Design - Part II</t>
  </si>
  <si>
    <t>Max RMS IL</t>
  </si>
  <si>
    <t>Max IL(avg)</t>
  </si>
  <si>
    <t>Max IL(pk)</t>
  </si>
  <si>
    <t>Wire Acu</t>
  </si>
  <si>
    <t>Selected Wire Diameter</t>
  </si>
  <si>
    <t>Parallel Wires</t>
  </si>
  <si>
    <t>Rdc of Inductor</t>
  </si>
  <si>
    <t>Experimental Results</t>
  </si>
  <si>
    <t>Inductance</t>
  </si>
  <si>
    <t>Rac</t>
  </si>
  <si>
    <t>mOhm</t>
  </si>
  <si>
    <t>Selected L</t>
  </si>
  <si>
    <t>(1-1)</t>
  </si>
  <si>
    <t>(1-2)</t>
  </si>
  <si>
    <t>A (1-3)</t>
  </si>
  <si>
    <t>A (1-4)</t>
  </si>
  <si>
    <t>(1-5)</t>
  </si>
  <si>
    <t>µH (1-6)</t>
  </si>
  <si>
    <t>µF (1-7)</t>
  </si>
  <si>
    <t>µF</t>
  </si>
  <si>
    <t>Ohms (1-8)</t>
  </si>
  <si>
    <t>(1-9)</t>
  </si>
  <si>
    <t>A (1-10)</t>
  </si>
  <si>
    <t>A (1-11)</t>
  </si>
  <si>
    <t>A (1-12)</t>
  </si>
  <si>
    <t>A (1-13)</t>
  </si>
  <si>
    <t>A (1-14)</t>
  </si>
  <si>
    <t>A (1-15)</t>
  </si>
  <si>
    <t>A (1-16)</t>
  </si>
  <si>
    <t>V (1-17)</t>
  </si>
  <si>
    <t>V (1-18)</t>
  </si>
  <si>
    <t>mV (1-19)</t>
  </si>
  <si>
    <t>Rop1</t>
  </si>
  <si>
    <t>Rop2</t>
  </si>
  <si>
    <t>Min PI Output (Vpi_in)</t>
  </si>
  <si>
    <t>Max PI Output (Vpi_in)</t>
  </si>
  <si>
    <t xml:space="preserve">Cvb </t>
  </si>
  <si>
    <t xml:space="preserve">Ri </t>
  </si>
  <si>
    <t xml:space="preserve">Rrt </t>
  </si>
  <si>
    <t xml:space="preserve">Cct </t>
  </si>
  <si>
    <t xml:space="preserve">Rg </t>
  </si>
  <si>
    <t>Ria</t>
  </si>
  <si>
    <t>Rib</t>
  </si>
  <si>
    <t>Cib</t>
  </si>
  <si>
    <t>Ohms (1-20)</t>
  </si>
  <si>
    <t>kOhms (1-21)</t>
  </si>
  <si>
    <t>kOhms (1-22)</t>
  </si>
  <si>
    <t>pF (1-23)</t>
  </si>
  <si>
    <t>kOhms (1-24)</t>
  </si>
  <si>
    <t>kOhms (1-25)</t>
  </si>
  <si>
    <t>pF (1-26)</t>
  </si>
  <si>
    <t>Boost Design Specifications</t>
  </si>
  <si>
    <t xml:space="preserve">mm </t>
  </si>
  <si>
    <t>Turns (1-1)</t>
  </si>
  <si>
    <t>T (1-2)</t>
  </si>
  <si>
    <t>mm (1-3)</t>
  </si>
  <si>
    <t>mm^2 (1-4)</t>
  </si>
  <si>
    <t>mOhms (1-5)</t>
  </si>
  <si>
    <t>W (1-6)</t>
  </si>
  <si>
    <t>Rdc</t>
  </si>
  <si>
    <t>Y</t>
  </si>
  <si>
    <t>5</t>
  </si>
  <si>
    <t>4*piE-7</t>
    <phoneticPr fontId="0" type="noConversion"/>
  </si>
  <si>
    <t>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</si>
</sst>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E+00"/>
    <numFmt numFmtId="166" formatCode="0.000"/>
    <numFmt numFmtId="167" formatCode="0.00000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u/>
      <sz val="16"/>
      <color theme="1"/>
      <name val="Aptos Narrow"/>
      <family val="2"/>
      <scheme val="minor"/>
    </font>
    <font>
      <b/>
      <u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11"/>
      <color rgb="FF0F1115"/>
      <name val="Consolas"/>
      <family val="3"/>
    </font>
  </fonts>
  <fills count="6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</fills>
  <borders count="5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/>
      <bottom/>
      <diagonal/>
    </border>
    <border>
      <left style="thin">
        <color auto="1"/>
      </left>
      <right style="double">
        <color rgb="FF3F3F3F"/>
      </right>
      <top style="thin">
        <color auto="1"/>
      </top>
      <bottom/>
      <diagonal/>
    </border>
    <border>
      <left style="double">
        <color rgb="FF3F3F3F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double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/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/>
      <bottom style="double">
        <color rgb="FF3F3F3F"/>
      </bottom>
      <diagonal/>
    </border>
    <border>
      <left style="double">
        <color rgb="FF3F3F3F"/>
      </left>
      <right/>
      <top/>
      <bottom style="thin">
        <color rgb="FF3F3F3F"/>
      </bottom>
      <diagonal/>
    </border>
    <border>
      <left style="double">
        <color rgb="FF3F3F3F"/>
      </left>
      <right/>
      <top style="thin">
        <color rgb="FF000000"/>
      </top>
      <bottom style="double">
        <color rgb="FF000000"/>
      </bottom>
      <diagonal/>
    </border>
    <border>
      <left/>
      <right style="double">
        <color rgb="FF3F3F3F"/>
      </right>
      <top/>
      <bottom style="thin">
        <color rgb="FF3F3F3F"/>
      </bottom>
      <diagonal/>
    </border>
    <border>
      <left/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/>
      <right style="double">
        <color rgb="FF3F3F3F"/>
      </right>
      <top/>
      <bottom style="double">
        <color rgb="FF000000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indexed="64"/>
      </bottom>
      <diagonal/>
    </border>
  </borders>
  <cellStyleXfs count="3">
    <xf numFmtId="0" fontId="0" fillId="0" borderId="0"/>
    <xf numFmtId="0" fontId="2" fillId="2" borderId="1" applyNumberFormat="0" applyAlignment="0" applyProtection="0"/>
    <xf numFmtId="0" fontId="1" fillId="3" borderId="0" applyNumberFormat="0" applyBorder="0" applyAlignment="0" applyProtection="0"/>
  </cellStyleXfs>
  <cellXfs count="98">
    <xf numFmtId="0" fontId="0" fillId="0" borderId="0" xfId="0"/>
    <xf numFmtId="0" fontId="3" fillId="0" borderId="0" xfId="0" applyFont="1"/>
    <xf numFmtId="0" fontId="4" fillId="0" borderId="0" xfId="0" applyFont="1"/>
    <xf numFmtId="0" fontId="2" fillId="2" borderId="1" xfId="1"/>
    <xf numFmtId="0" fontId="1" fillId="3" borderId="2" xfId="2" applyBorder="1"/>
    <xf numFmtId="2" fontId="0" fillId="4" borderId="3" xfId="0" applyNumberFormat="1" applyFill="1" applyBorder="1"/>
    <xf numFmtId="0" fontId="0" fillId="0" borderId="4" xfId="0" applyBorder="1"/>
    <xf numFmtId="0" fontId="1" fillId="3" borderId="5" xfId="2" applyBorder="1"/>
    <xf numFmtId="2" fontId="0" fillId="4" borderId="6" xfId="0" applyNumberFormat="1" applyFill="1" applyBorder="1"/>
    <xf numFmtId="0" fontId="0" fillId="0" borderId="7" xfId="0" applyBorder="1"/>
    <xf numFmtId="0" fontId="1" fillId="3" borderId="8" xfId="2" applyBorder="1"/>
    <xf numFmtId="2" fontId="0" fillId="4" borderId="9" xfId="0" applyNumberFormat="1" applyFill="1" applyBorder="1"/>
    <xf numFmtId="0" fontId="0" fillId="0" borderId="10" xfId="0" applyBorder="1"/>
    <xf numFmtId="0" fontId="5" fillId="0" borderId="0" xfId="0" applyFont="1"/>
    <xf numFmtId="49" fontId="0" fillId="0" borderId="4" xfId="0" applyNumberFormat="1" applyBorder="1"/>
    <xf numFmtId="0" fontId="1" fillId="3" borderId="11" xfId="2" applyBorder="1"/>
    <xf numFmtId="2" fontId="0" fillId="0" borderId="12" xfId="0" applyNumberFormat="1" applyBorder="1"/>
    <xf numFmtId="49" fontId="0" fillId="0" borderId="13" xfId="0" applyNumberFormat="1" applyBorder="1"/>
    <xf numFmtId="49" fontId="0" fillId="0" borderId="14" xfId="0" applyNumberFormat="1" applyBorder="1"/>
    <xf numFmtId="49" fontId="0" fillId="0" borderId="10" xfId="0" applyNumberFormat="1" applyBorder="1"/>
    <xf numFmtId="2" fontId="0" fillId="0" borderId="9" xfId="0" applyNumberFormat="1" applyBorder="1"/>
    <xf numFmtId="49" fontId="0" fillId="0" borderId="3" xfId="0" applyNumberFormat="1" applyBorder="1"/>
    <xf numFmtId="49" fontId="0" fillId="0" borderId="16" xfId="0" applyNumberFormat="1" applyBorder="1"/>
    <xf numFmtId="49" fontId="0" fillId="0" borderId="6" xfId="0" applyNumberFormat="1" applyBorder="1"/>
    <xf numFmtId="49" fontId="0" fillId="0" borderId="17" xfId="0" applyNumberFormat="1" applyBorder="1"/>
    <xf numFmtId="2" fontId="0" fillId="0" borderId="6" xfId="0" applyNumberFormat="1" applyBorder="1"/>
    <xf numFmtId="2" fontId="0" fillId="4" borderId="6" xfId="0" applyNumberFormat="1" applyFill="1" applyBorder="1" applyAlignment="1">
      <alignment horizontal="right"/>
    </xf>
    <xf numFmtId="2" fontId="0" fillId="0" borderId="6" xfId="0" applyNumberFormat="1" applyBorder="1" applyAlignment="1">
      <alignment horizontal="right"/>
    </xf>
    <xf numFmtId="0" fontId="1" fillId="3" borderId="18" xfId="2" applyBorder="1"/>
    <xf numFmtId="2" fontId="0" fillId="0" borderId="19" xfId="0" applyNumberFormat="1" applyBorder="1"/>
    <xf numFmtId="49" fontId="0" fillId="0" borderId="19" xfId="0" applyNumberFormat="1" applyBorder="1"/>
    <xf numFmtId="49" fontId="0" fillId="0" borderId="9" xfId="0" applyNumberFormat="1" applyBorder="1"/>
    <xf numFmtId="49" fontId="0" fillId="0" borderId="20" xfId="0" applyNumberFormat="1" applyBorder="1"/>
    <xf numFmtId="164" fontId="0" fillId="0" borderId="0" xfId="0" applyNumberFormat="1"/>
    <xf numFmtId="49" fontId="0" fillId="0" borderId="0" xfId="0" applyNumberFormat="1"/>
    <xf numFmtId="2" fontId="0" fillId="4" borderId="12" xfId="0" applyNumberFormat="1" applyFill="1" applyBorder="1"/>
    <xf numFmtId="49" fontId="0" fillId="0" borderId="21" xfId="0" applyNumberFormat="1" applyBorder="1"/>
    <xf numFmtId="2" fontId="6" fillId="4" borderId="12" xfId="0" applyNumberFormat="1" applyFont="1" applyFill="1" applyBorder="1"/>
    <xf numFmtId="0" fontId="0" fillId="3" borderId="2" xfId="2" applyFont="1" applyBorder="1"/>
    <xf numFmtId="0" fontId="0" fillId="3" borderId="5" xfId="2" applyFont="1" applyBorder="1"/>
    <xf numFmtId="2" fontId="0" fillId="4" borderId="19" xfId="0" applyNumberFormat="1" applyFill="1" applyBorder="1"/>
    <xf numFmtId="0" fontId="0" fillId="0" borderId="22" xfId="0" applyBorder="1"/>
    <xf numFmtId="2" fontId="0" fillId="4" borderId="15" xfId="0" applyNumberFormat="1" applyFill="1" applyBorder="1"/>
    <xf numFmtId="49" fontId="0" fillId="0" borderId="15" xfId="0" applyNumberFormat="1" applyBorder="1"/>
    <xf numFmtId="49" fontId="0" fillId="0" borderId="24" xfId="0" applyNumberFormat="1" applyBorder="1"/>
    <xf numFmtId="0" fontId="0" fillId="3" borderId="23" xfId="2" applyFont="1" applyBorder="1"/>
    <xf numFmtId="0" fontId="0" fillId="3" borderId="25" xfId="2" applyFont="1" applyBorder="1"/>
    <xf numFmtId="49" fontId="0" fillId="0" borderId="26" xfId="0" applyNumberFormat="1" applyBorder="1"/>
    <xf numFmtId="0" fontId="0" fillId="3" borderId="27" xfId="2" applyFont="1" applyBorder="1"/>
    <xf numFmtId="49" fontId="0" fillId="0" borderId="28" xfId="0" applyNumberFormat="1" applyBorder="1"/>
    <xf numFmtId="0" fontId="0" fillId="3" borderId="29" xfId="2" applyFont="1" applyBorder="1"/>
    <xf numFmtId="2" fontId="0" fillId="0" borderId="30" xfId="0" applyNumberFormat="1" applyBorder="1"/>
    <xf numFmtId="49" fontId="0" fillId="0" borderId="31" xfId="0" applyNumberFormat="1" applyBorder="1"/>
    <xf numFmtId="0" fontId="0" fillId="3" borderId="11" xfId="2" applyFont="1" applyBorder="1"/>
    <xf numFmtId="2" fontId="0" fillId="5" borderId="3" xfId="0" applyNumberFormat="1" applyFill="1" applyBorder="1"/>
    <xf numFmtId="2" fontId="0" fillId="5" borderId="15" xfId="0" applyNumberFormat="1" applyFill="1" applyBorder="1"/>
    <xf numFmtId="2" fontId="0" fillId="5" borderId="6" xfId="0" applyNumberFormat="1" applyFill="1" applyBorder="1"/>
    <xf numFmtId="0" fontId="0" fillId="3" borderId="33" xfId="2" applyFont="1" applyBorder="1"/>
    <xf numFmtId="2" fontId="0" fillId="0" borderId="34" xfId="0" applyNumberFormat="1" applyBorder="1"/>
    <xf numFmtId="49" fontId="0" fillId="0" borderId="35" xfId="0" applyNumberFormat="1" applyBorder="1"/>
    <xf numFmtId="0" fontId="1" fillId="3" borderId="36" xfId="2" applyBorder="1"/>
    <xf numFmtId="164" fontId="0" fillId="4" borderId="37" xfId="0" applyNumberFormat="1" applyFill="1" applyBorder="1" applyAlignment="1">
      <alignment horizontal="right"/>
    </xf>
    <xf numFmtId="49" fontId="0" fillId="0" borderId="38" xfId="0" applyNumberFormat="1" applyBorder="1"/>
    <xf numFmtId="0" fontId="1" fillId="3" borderId="39" xfId="2" applyBorder="1"/>
    <xf numFmtId="0" fontId="0" fillId="4" borderId="32" xfId="0" applyFill="1" applyBorder="1" applyAlignment="1">
      <alignment horizontal="right"/>
    </xf>
    <xf numFmtId="0" fontId="0" fillId="0" borderId="40" xfId="0" applyBorder="1"/>
    <xf numFmtId="2" fontId="0" fillId="0" borderId="32" xfId="0" applyNumberFormat="1" applyBorder="1"/>
    <xf numFmtId="165" fontId="0" fillId="0" borderId="32" xfId="0" applyNumberFormat="1" applyBorder="1"/>
    <xf numFmtId="0" fontId="1" fillId="3" borderId="41" xfId="2" applyBorder="1"/>
    <xf numFmtId="165" fontId="0" fillId="0" borderId="42" xfId="0" applyNumberFormat="1" applyBorder="1"/>
    <xf numFmtId="0" fontId="1" fillId="3" borderId="43" xfId="2" applyBorder="1"/>
    <xf numFmtId="2" fontId="0" fillId="4" borderId="44" xfId="0" applyNumberFormat="1" applyFill="1" applyBorder="1"/>
    <xf numFmtId="0" fontId="0" fillId="0" borderId="45" xfId="0" applyBorder="1"/>
    <xf numFmtId="0" fontId="0" fillId="4" borderId="37" xfId="0" applyFill="1" applyBorder="1"/>
    <xf numFmtId="0" fontId="0" fillId="0" borderId="38" xfId="0" applyBorder="1"/>
    <xf numFmtId="2" fontId="0" fillId="0" borderId="0" xfId="0" applyNumberFormat="1"/>
    <xf numFmtId="0" fontId="1" fillId="3" borderId="46" xfId="2" applyBorder="1"/>
    <xf numFmtId="0" fontId="0" fillId="0" borderId="47" xfId="0" applyBorder="1"/>
    <xf numFmtId="0" fontId="0" fillId="0" borderId="48" xfId="0" applyBorder="1"/>
    <xf numFmtId="166" fontId="0" fillId="0" borderId="47" xfId="0" applyNumberFormat="1" applyBorder="1"/>
    <xf numFmtId="167" fontId="0" fillId="0" borderId="0" xfId="0" applyNumberFormat="1"/>
    <xf numFmtId="0" fontId="0" fillId="4" borderId="47" xfId="0" applyFill="1" applyBorder="1" applyAlignment="1">
      <alignment horizontal="right"/>
    </xf>
    <xf numFmtId="0" fontId="0" fillId="4" borderId="47" xfId="0" applyFill="1" applyBorder="1"/>
    <xf numFmtId="0" fontId="0" fillId="3" borderId="46" xfId="2" applyFont="1" applyBorder="1"/>
    <xf numFmtId="0" fontId="1" fillId="3" borderId="49" xfId="2" applyBorder="1"/>
    <xf numFmtId="2" fontId="0" fillId="0" borderId="50" xfId="0" applyNumberFormat="1" applyBorder="1"/>
    <xf numFmtId="0" fontId="0" fillId="0" borderId="51" xfId="0" applyBorder="1"/>
    <xf numFmtId="0" fontId="0" fillId="3" borderId="8" xfId="2" applyFont="1" applyBorder="1"/>
    <xf numFmtId="0" fontId="0" fillId="0" borderId="6" xfId="0" applyBorder="1"/>
    <xf numFmtId="0" fontId="0" fillId="3" borderId="52" xfId="2" applyFont="1" applyBorder="1"/>
    <xf numFmtId="0" fontId="1" fillId="3" borderId="52" xfId="2" applyBorder="1"/>
    <xf numFmtId="0" fontId="0" fillId="3" borderId="53" xfId="2" applyFont="1" applyBorder="1"/>
    <xf numFmtId="0" fontId="0" fillId="0" borderId="54" xfId="0" applyBorder="1"/>
    <xf numFmtId="0" fontId="0" fillId="0" borderId="55" xfId="0" applyBorder="1"/>
    <xf numFmtId="0" fontId="0" fillId="0" borderId="56" xfId="0" applyBorder="1"/>
    <xf numFmtId="0" fontId="2" fillId="2" borderId="57" xfId="1" applyBorder="1"/>
    <xf numFmtId="0" fontId="7" fillId="0" borderId="6" xfId="0" applyFont="1" applyBorder="1"/>
    <xf numFmtId="0" fontId="7" fillId="0" borderId="58" xfId="0" applyFont="1" applyBorder="1"/>
  </cellXfs>
  <cellStyles count="3">
    <cellStyle name="20% - Accent1" xfId="2" builtinId="30"/>
    <cellStyle name="Check Cell" xfId="1" builtinId="2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104775</xdr:colOff>
      <xdr:row>71</xdr:row>
      <xdr:rowOff>86507</xdr:rowOff>
    </xdr:from>
    <xdr:to>
      <xdr:col>10</xdr:col>
      <xdr:colOff>723900</xdr:colOff>
      <xdr:row>94</xdr:row>
      <xdr:rowOff>208632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28C74AF-CDCB-DA83-4B01-561098B30C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95850" y="14212082"/>
          <a:ext cx="4905375" cy="462745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28CAE-7D6E-414C-9BF7-B54583CFEE9E}">
  <dimension ref="A1:O103"/>
  <sheetViews>
    <sheetView tabSelected="1" topLeftCell="A57" zoomScaleNormal="100" workbookViewId="0">
      <selection activeCell="M95" sqref="M95"/>
    </sheetView>
  </sheetViews>
  <sheetFormatPr defaultColWidth="12" defaultRowHeight="15" x14ac:dyDescent="0.25"/>
  <cols>
    <col min="1" max="1" width="20.42578125" customWidth="1"/>
    <col min="2" max="11" width="12.85546875" customWidth="1"/>
  </cols>
  <sheetData>
    <row r="1" spans="1:3" ht="21" x14ac:dyDescent="0.35">
      <c r="A1" s="1" t="s">
        <v>59</v>
      </c>
    </row>
    <row r="3" spans="1:3" ht="18.75" x14ac:dyDescent="0.3">
      <c r="A3" s="2" t="s">
        <v>144</v>
      </c>
    </row>
    <row r="4" spans="1:3" ht="15.75" thickBot="1" x14ac:dyDescent="0.3"/>
    <row r="5" spans="1:3" ht="16.5" thickTop="1" thickBot="1" x14ac:dyDescent="0.3">
      <c r="A5" s="3" t="s">
        <v>0</v>
      </c>
      <c r="B5" s="3" t="s">
        <v>1</v>
      </c>
      <c r="C5" s="3" t="s">
        <v>2</v>
      </c>
    </row>
    <row r="6" spans="1:3" ht="15.75" thickTop="1" x14ac:dyDescent="0.25">
      <c r="A6" s="38" t="s">
        <v>37</v>
      </c>
      <c r="B6" s="5">
        <v>3.5</v>
      </c>
      <c r="C6" s="6" t="s">
        <v>3</v>
      </c>
    </row>
    <row r="7" spans="1:3" x14ac:dyDescent="0.25">
      <c r="A7" s="39" t="s">
        <v>38</v>
      </c>
      <c r="B7" s="8">
        <v>2.5</v>
      </c>
      <c r="C7" s="9" t="s">
        <v>3</v>
      </c>
    </row>
    <row r="8" spans="1:3" x14ac:dyDescent="0.25">
      <c r="A8" s="39" t="s">
        <v>39</v>
      </c>
      <c r="B8" s="8">
        <v>5</v>
      </c>
      <c r="C8" s="9" t="s">
        <v>3</v>
      </c>
    </row>
    <row r="9" spans="1:3" x14ac:dyDescent="0.25">
      <c r="A9" s="39" t="s">
        <v>57</v>
      </c>
      <c r="B9" s="8">
        <v>5</v>
      </c>
      <c r="C9" s="9" t="s">
        <v>4</v>
      </c>
    </row>
    <row r="10" spans="1:3" x14ac:dyDescent="0.25">
      <c r="A10" s="39" t="s">
        <v>58</v>
      </c>
      <c r="B10" s="40">
        <v>0.5</v>
      </c>
      <c r="C10" s="41" t="s">
        <v>4</v>
      </c>
    </row>
    <row r="11" spans="1:3" ht="15.75" thickBot="1" x14ac:dyDescent="0.3">
      <c r="A11" s="10" t="s">
        <v>5</v>
      </c>
      <c r="B11" s="11">
        <v>100</v>
      </c>
      <c r="C11" s="12" t="s">
        <v>6</v>
      </c>
    </row>
    <row r="12" spans="1:3" ht="16.5" thickTop="1" x14ac:dyDescent="0.25">
      <c r="A12" s="13"/>
    </row>
    <row r="14" spans="1:3" ht="18.75" x14ac:dyDescent="0.3">
      <c r="A14" s="2" t="s">
        <v>56</v>
      </c>
    </row>
    <row r="15" spans="1:3" ht="15.75" thickBot="1" x14ac:dyDescent="0.3"/>
    <row r="16" spans="1:3" ht="16.5" thickTop="1" thickBot="1" x14ac:dyDescent="0.3">
      <c r="A16" s="3" t="s">
        <v>0</v>
      </c>
      <c r="B16" s="3" t="s">
        <v>1</v>
      </c>
      <c r="C16" s="3" t="s">
        <v>7</v>
      </c>
    </row>
    <row r="17" spans="1:3" ht="15.75" thickTop="1" x14ac:dyDescent="0.25">
      <c r="A17" s="46" t="s">
        <v>42</v>
      </c>
      <c r="B17">
        <v>0.5</v>
      </c>
      <c r="C17" s="47" t="s">
        <v>105</v>
      </c>
    </row>
    <row r="18" spans="1:3" x14ac:dyDescent="0.25">
      <c r="A18" s="48" t="s">
        <v>41</v>
      </c>
      <c r="B18">
        <v>0.33</v>
      </c>
      <c r="C18" s="49" t="s">
        <v>106</v>
      </c>
    </row>
    <row r="19" spans="1:3" x14ac:dyDescent="0.25">
      <c r="A19" s="57" t="s">
        <v>60</v>
      </c>
      <c r="B19" s="58">
        <v>1</v>
      </c>
      <c r="C19" s="59" t="s">
        <v>107</v>
      </c>
    </row>
    <row r="20" spans="1:3" x14ac:dyDescent="0.25">
      <c r="A20" s="50" t="s">
        <v>61</v>
      </c>
      <c r="B20" s="51">
        <v>0.1</v>
      </c>
      <c r="C20" s="52" t="s">
        <v>108</v>
      </c>
    </row>
    <row r="21" spans="1:3" x14ac:dyDescent="0.25">
      <c r="A21" s="53" t="s">
        <v>44</v>
      </c>
      <c r="B21" s="16">
        <v>0.33</v>
      </c>
      <c r="C21" s="17" t="s">
        <v>109</v>
      </c>
    </row>
    <row r="22" spans="1:3" x14ac:dyDescent="0.25">
      <c r="A22" s="53" t="s">
        <v>45</v>
      </c>
      <c r="B22" s="16">
        <v>37</v>
      </c>
      <c r="C22" s="18" t="s">
        <v>110</v>
      </c>
    </row>
    <row r="23" spans="1:3" ht="15.75" thickBot="1" x14ac:dyDescent="0.3">
      <c r="A23" s="87" t="s">
        <v>104</v>
      </c>
      <c r="B23" s="11">
        <v>39</v>
      </c>
      <c r="C23" s="19" t="s">
        <v>8</v>
      </c>
    </row>
    <row r="24" spans="1:3" ht="15.75" thickTop="1" x14ac:dyDescent="0.25"/>
    <row r="26" spans="1:3" ht="18.75" x14ac:dyDescent="0.3">
      <c r="A26" s="2" t="s">
        <v>9</v>
      </c>
    </row>
    <row r="27" spans="1:3" ht="15.75" thickBot="1" x14ac:dyDescent="0.3"/>
    <row r="28" spans="1:3" ht="16.5" thickTop="1" thickBot="1" x14ac:dyDescent="0.3">
      <c r="A28" s="3" t="s">
        <v>0</v>
      </c>
      <c r="B28" s="3" t="s">
        <v>1</v>
      </c>
      <c r="C28" s="3" t="s">
        <v>7</v>
      </c>
    </row>
    <row r="29" spans="1:3" ht="15.75" thickTop="1" x14ac:dyDescent="0.25">
      <c r="A29" s="4" t="s">
        <v>10</v>
      </c>
      <c r="B29" s="5">
        <v>0.1</v>
      </c>
      <c r="C29" s="14" t="s">
        <v>3</v>
      </c>
    </row>
    <row r="30" spans="1:3" x14ac:dyDescent="0.25">
      <c r="A30" s="15" t="s">
        <v>11</v>
      </c>
      <c r="B30" s="16">
        <v>30</v>
      </c>
      <c r="C30" s="17" t="s">
        <v>111</v>
      </c>
    </row>
    <row r="31" spans="1:3" ht="15.75" thickBot="1" x14ac:dyDescent="0.3">
      <c r="A31" s="10" t="s">
        <v>12</v>
      </c>
      <c r="B31" s="20">
        <v>33</v>
      </c>
      <c r="C31" s="19" t="s">
        <v>112</v>
      </c>
    </row>
    <row r="32" spans="1:3" ht="15.75" thickTop="1" x14ac:dyDescent="0.25"/>
    <row r="34" spans="1:15" ht="18.75" x14ac:dyDescent="0.3">
      <c r="A34" s="2" t="s">
        <v>13</v>
      </c>
    </row>
    <row r="35" spans="1:15" ht="15.75" thickBot="1" x14ac:dyDescent="0.3"/>
    <row r="36" spans="1:15" ht="16.5" thickTop="1" thickBot="1" x14ac:dyDescent="0.3">
      <c r="A36" s="3" t="s">
        <v>0</v>
      </c>
      <c r="B36" s="3" t="s">
        <v>1</v>
      </c>
      <c r="C36" s="3" t="s">
        <v>7</v>
      </c>
      <c r="D36" s="3" t="s">
        <v>1</v>
      </c>
      <c r="E36" s="3" t="s">
        <v>7</v>
      </c>
      <c r="F36" s="3" t="s">
        <v>1</v>
      </c>
      <c r="G36" s="3" t="s">
        <v>7</v>
      </c>
      <c r="H36" s="3" t="s">
        <v>1</v>
      </c>
      <c r="I36" s="3" t="s">
        <v>7</v>
      </c>
      <c r="J36" s="3" t="s">
        <v>1</v>
      </c>
      <c r="K36" s="3" t="s">
        <v>7</v>
      </c>
    </row>
    <row r="37" spans="1:15" ht="15.75" thickTop="1" x14ac:dyDescent="0.25">
      <c r="A37" s="4" t="s">
        <v>14</v>
      </c>
      <c r="B37" s="5">
        <v>5</v>
      </c>
      <c r="C37" s="21" t="s">
        <v>3</v>
      </c>
      <c r="D37" s="5">
        <v>5</v>
      </c>
      <c r="E37" s="21" t="s">
        <v>3</v>
      </c>
      <c r="F37" s="54">
        <v>5</v>
      </c>
      <c r="G37" s="21" t="s">
        <v>3</v>
      </c>
      <c r="H37" s="5">
        <v>5</v>
      </c>
      <c r="I37" s="21" t="s">
        <v>3</v>
      </c>
      <c r="J37" s="5">
        <v>5</v>
      </c>
      <c r="K37" s="22" t="s">
        <v>3</v>
      </c>
    </row>
    <row r="38" spans="1:15" x14ac:dyDescent="0.25">
      <c r="A38" s="45" t="s">
        <v>40</v>
      </c>
      <c r="B38" s="42">
        <v>2.5</v>
      </c>
      <c r="C38" s="43" t="s">
        <v>3</v>
      </c>
      <c r="D38" s="42">
        <v>3.33</v>
      </c>
      <c r="E38" s="43" t="s">
        <v>3</v>
      </c>
      <c r="F38" s="55">
        <v>3.5</v>
      </c>
      <c r="G38" s="43" t="s">
        <v>3</v>
      </c>
      <c r="H38" s="42">
        <v>2.5</v>
      </c>
      <c r="I38" s="43" t="s">
        <v>3</v>
      </c>
      <c r="J38" s="42">
        <v>3.5</v>
      </c>
      <c r="K38" s="44" t="s">
        <v>3</v>
      </c>
    </row>
    <row r="39" spans="1:15" x14ac:dyDescent="0.25">
      <c r="A39" s="7" t="s">
        <v>15</v>
      </c>
      <c r="B39" s="8">
        <f>B10</f>
        <v>0.5</v>
      </c>
      <c r="C39" s="23" t="s">
        <v>4</v>
      </c>
      <c r="D39" s="8">
        <f>B10</f>
        <v>0.5</v>
      </c>
      <c r="E39" s="23" t="s">
        <v>4</v>
      </c>
      <c r="F39" s="56">
        <v>0.5</v>
      </c>
      <c r="G39" s="23" t="s">
        <v>4</v>
      </c>
      <c r="H39" s="8">
        <v>5</v>
      </c>
      <c r="I39" s="23" t="s">
        <v>4</v>
      </c>
      <c r="J39" s="8">
        <v>5</v>
      </c>
      <c r="K39" s="24" t="s">
        <v>4</v>
      </c>
    </row>
    <row r="40" spans="1:15" x14ac:dyDescent="0.25">
      <c r="A40" s="7" t="s">
        <v>16</v>
      </c>
      <c r="B40" s="25">
        <f>B37^2/B39</f>
        <v>50</v>
      </c>
      <c r="C40" s="23" t="s">
        <v>113</v>
      </c>
      <c r="D40" s="25">
        <f t="shared" ref="D40:J40" si="0">D37^2/D39</f>
        <v>50</v>
      </c>
      <c r="E40" s="23" t="s">
        <v>113</v>
      </c>
      <c r="F40" s="25">
        <f t="shared" si="0"/>
        <v>50</v>
      </c>
      <c r="G40" s="23" t="s">
        <v>113</v>
      </c>
      <c r="H40" s="25">
        <f t="shared" si="0"/>
        <v>5</v>
      </c>
      <c r="I40" s="23" t="s">
        <v>113</v>
      </c>
      <c r="J40" s="25">
        <f t="shared" si="0"/>
        <v>5</v>
      </c>
      <c r="K40" s="23" t="s">
        <v>113</v>
      </c>
    </row>
    <row r="41" spans="1:15" x14ac:dyDescent="0.25">
      <c r="A41" s="7" t="s">
        <v>17</v>
      </c>
      <c r="B41" s="25">
        <f>1-B38/B37</f>
        <v>0.5</v>
      </c>
      <c r="C41" s="23" t="s">
        <v>114</v>
      </c>
      <c r="D41" s="25">
        <f t="shared" ref="D41:J41" si="1">1-D38/D37</f>
        <v>0.33399999999999996</v>
      </c>
      <c r="E41" s="23" t="s">
        <v>114</v>
      </c>
      <c r="F41" s="25">
        <f t="shared" si="1"/>
        <v>0.30000000000000004</v>
      </c>
      <c r="G41" s="23" t="s">
        <v>114</v>
      </c>
      <c r="H41" s="25">
        <f t="shared" si="1"/>
        <v>0.5</v>
      </c>
      <c r="I41" s="23" t="s">
        <v>114</v>
      </c>
      <c r="J41" s="25">
        <f t="shared" si="1"/>
        <v>0.30000000000000004</v>
      </c>
      <c r="K41" s="23" t="s">
        <v>114</v>
      </c>
    </row>
    <row r="42" spans="1:15" x14ac:dyDescent="0.25">
      <c r="A42" s="39" t="s">
        <v>47</v>
      </c>
      <c r="B42" s="25">
        <f>B47/(1-B41)</f>
        <v>0.2</v>
      </c>
      <c r="C42" s="23" t="s">
        <v>115</v>
      </c>
      <c r="D42" s="25">
        <f t="shared" ref="D42:J42" si="2">D47/(1-D41)</f>
        <v>0.15015015015015015</v>
      </c>
      <c r="E42" s="23" t="s">
        <v>115</v>
      </c>
      <c r="F42" s="25">
        <f t="shared" si="2"/>
        <v>0.14285714285714288</v>
      </c>
      <c r="G42" s="23" t="s">
        <v>115</v>
      </c>
      <c r="H42" s="25">
        <f t="shared" si="2"/>
        <v>2</v>
      </c>
      <c r="I42" s="23" t="s">
        <v>115</v>
      </c>
      <c r="J42" s="25">
        <f t="shared" si="2"/>
        <v>1.4285714285714286</v>
      </c>
      <c r="K42" s="23" t="s">
        <v>115</v>
      </c>
      <c r="O42">
        <v>1</v>
      </c>
    </row>
    <row r="43" spans="1:15" x14ac:dyDescent="0.25">
      <c r="A43" s="39" t="s">
        <v>46</v>
      </c>
      <c r="B43" s="25">
        <f>(B37-B38)*(1-B41)/($B$23/1000000*($B$11*1000))</f>
        <v>0.32051282051282054</v>
      </c>
      <c r="C43" s="23" t="s">
        <v>116</v>
      </c>
      <c r="D43" s="25">
        <f t="shared" ref="D43:J43" si="3">(D37-D38)*(1-D41)/($B$23/1000000*($B$11*1000))</f>
        <v>0.28518461538461537</v>
      </c>
      <c r="E43" s="23" t="s">
        <v>116</v>
      </c>
      <c r="F43" s="25">
        <f t="shared" si="3"/>
        <v>0.26923076923076922</v>
      </c>
      <c r="G43" s="23" t="s">
        <v>116</v>
      </c>
      <c r="H43" s="25">
        <f t="shared" si="3"/>
        <v>0.32051282051282054</v>
      </c>
      <c r="I43" s="23" t="s">
        <v>116</v>
      </c>
      <c r="J43" s="25">
        <f t="shared" si="3"/>
        <v>0.26923076923076922</v>
      </c>
      <c r="K43" s="23" t="s">
        <v>116</v>
      </c>
    </row>
    <row r="44" spans="1:15" x14ac:dyDescent="0.25">
      <c r="A44" s="7" t="s">
        <v>18</v>
      </c>
      <c r="B44" s="26" t="str">
        <f>IF(B42&gt;=B43/2,"Yes","No")</f>
        <v>Yes</v>
      </c>
      <c r="C44" s="23"/>
      <c r="D44" s="26" t="str">
        <f t="shared" ref="D44:J44" si="4">IF(D42&gt;=D43/2,"Yes","No")</f>
        <v>Yes</v>
      </c>
      <c r="E44" s="23"/>
      <c r="F44" s="26" t="str">
        <f t="shared" si="4"/>
        <v>Yes</v>
      </c>
      <c r="G44" s="23"/>
      <c r="H44" s="26" t="str">
        <f t="shared" si="4"/>
        <v>Yes</v>
      </c>
      <c r="I44" s="23"/>
      <c r="J44" s="26" t="str">
        <f t="shared" si="4"/>
        <v>Yes</v>
      </c>
      <c r="K44" s="24"/>
    </row>
    <row r="45" spans="1:15" x14ac:dyDescent="0.25">
      <c r="A45" s="7" t="s">
        <v>49</v>
      </c>
      <c r="B45" s="25">
        <f>B42+B38*B41/(2*$B$23/1000000*$B$11*1000)</f>
        <v>0.36025641025641031</v>
      </c>
      <c r="C45" s="23" t="s">
        <v>117</v>
      </c>
      <c r="D45" s="25">
        <f t="shared" ref="D45:J45" si="5">D42+D38*D41/(2*$B$23/1000000*$B$11*1000)</f>
        <v>0.29274245784245784</v>
      </c>
      <c r="E45" s="23" t="s">
        <v>117</v>
      </c>
      <c r="F45" s="25">
        <f t="shared" si="5"/>
        <v>0.27747252747252754</v>
      </c>
      <c r="G45" s="23" t="s">
        <v>117</v>
      </c>
      <c r="H45" s="25">
        <f t="shared" si="5"/>
        <v>2.1602564102564101</v>
      </c>
      <c r="I45" s="23" t="s">
        <v>117</v>
      </c>
      <c r="J45" s="25">
        <f t="shared" si="5"/>
        <v>1.5631868131868132</v>
      </c>
      <c r="K45" s="23" t="s">
        <v>117</v>
      </c>
    </row>
    <row r="46" spans="1:15" x14ac:dyDescent="0.25">
      <c r="A46" s="7" t="s">
        <v>48</v>
      </c>
      <c r="B46">
        <f>SQRT(B42^2 + (B43^2)/12)</f>
        <v>0.22036493749253827</v>
      </c>
      <c r="C46" s="23" t="s">
        <v>118</v>
      </c>
      <c r="D46">
        <f t="shared" ref="D46:J46" si="6">SQRT(D42^2 + (D43^2)/12)</f>
        <v>0.17123840007754848</v>
      </c>
      <c r="E46" s="23" t="s">
        <v>118</v>
      </c>
      <c r="F46">
        <f t="shared" si="6"/>
        <v>0.16263024684958036</v>
      </c>
      <c r="G46" s="23" t="s">
        <v>118</v>
      </c>
      <c r="H46">
        <f t="shared" si="6"/>
        <v>2.0021390325539556</v>
      </c>
      <c r="I46" s="23" t="s">
        <v>118</v>
      </c>
      <c r="J46">
        <f t="shared" si="6"/>
        <v>1.430684018382697</v>
      </c>
      <c r="K46" s="23" t="s">
        <v>118</v>
      </c>
    </row>
    <row r="47" spans="1:15" x14ac:dyDescent="0.25">
      <c r="A47" s="28" t="s">
        <v>50</v>
      </c>
      <c r="B47" s="29">
        <f>B39/B37</f>
        <v>0.1</v>
      </c>
      <c r="C47" s="23" t="s">
        <v>119</v>
      </c>
      <c r="D47" s="29">
        <f t="shared" ref="D47:J47" si="7">D39/D37</f>
        <v>0.1</v>
      </c>
      <c r="E47" s="23" t="s">
        <v>119</v>
      </c>
      <c r="F47" s="29">
        <f t="shared" si="7"/>
        <v>0.1</v>
      </c>
      <c r="G47" s="23" t="s">
        <v>119</v>
      </c>
      <c r="H47" s="29">
        <f t="shared" si="7"/>
        <v>1</v>
      </c>
      <c r="I47" s="23" t="s">
        <v>119</v>
      </c>
      <c r="J47" s="29">
        <f t="shared" si="7"/>
        <v>1</v>
      </c>
      <c r="K47" s="23" t="s">
        <v>119</v>
      </c>
    </row>
    <row r="48" spans="1:15" x14ac:dyDescent="0.25">
      <c r="A48" s="28" t="s">
        <v>52</v>
      </c>
      <c r="B48" s="29">
        <f>SQRT(B41)*B46</f>
        <v>0.15582154163672349</v>
      </c>
      <c r="C48" s="23" t="s">
        <v>120</v>
      </c>
      <c r="D48" s="29">
        <f t="shared" ref="D48:J48" si="8">SQRT(D41)*D46</f>
        <v>9.8963351533856186E-2</v>
      </c>
      <c r="E48" s="23" t="s">
        <v>120</v>
      </c>
      <c r="F48" s="29">
        <f t="shared" si="8"/>
        <v>8.9076254732148655E-2</v>
      </c>
      <c r="G48" s="23" t="s">
        <v>120</v>
      </c>
      <c r="H48" s="29">
        <f t="shared" si="8"/>
        <v>1.4157260867971759</v>
      </c>
      <c r="I48" s="23" t="s">
        <v>120</v>
      </c>
      <c r="J48" s="29">
        <f t="shared" si="8"/>
        <v>0.78361790953033894</v>
      </c>
      <c r="K48" s="23" t="s">
        <v>120</v>
      </c>
    </row>
    <row r="49" spans="1:11" x14ac:dyDescent="0.25">
      <c r="A49" s="28" t="s">
        <v>51</v>
      </c>
      <c r="B49" s="29">
        <f>SQRT((1 - B41) * B46^2 - B47^2)</f>
        <v>0.11950043028393306</v>
      </c>
      <c r="C49" s="23" t="s">
        <v>121</v>
      </c>
      <c r="D49" s="29">
        <f t="shared" ref="D49:J49" si="9">SQRT((1 - D41) * D46^2 - D47^2)</f>
        <v>9.7615801560530957E-2</v>
      </c>
      <c r="E49" s="23" t="s">
        <v>121</v>
      </c>
      <c r="F49" s="29">
        <f t="shared" si="9"/>
        <v>9.2271436713908403E-2</v>
      </c>
      <c r="G49" s="23" t="s">
        <v>121</v>
      </c>
      <c r="H49" s="29">
        <f t="shared" si="9"/>
        <v>1.0021378911297809</v>
      </c>
      <c r="I49" s="23" t="s">
        <v>121</v>
      </c>
      <c r="J49" s="29">
        <f t="shared" si="9"/>
        <v>0.65787516469233187</v>
      </c>
      <c r="K49" s="23" t="s">
        <v>121</v>
      </c>
    </row>
    <row r="50" spans="1:11" x14ac:dyDescent="0.25">
      <c r="A50" s="7" t="s">
        <v>53</v>
      </c>
      <c r="B50" s="29">
        <f>B37</f>
        <v>5</v>
      </c>
      <c r="C50" s="23" t="s">
        <v>122</v>
      </c>
      <c r="D50" s="29">
        <f t="shared" ref="D50:J50" si="10">D37</f>
        <v>5</v>
      </c>
      <c r="E50" s="23" t="s">
        <v>122</v>
      </c>
      <c r="F50" s="29">
        <f t="shared" si="10"/>
        <v>5</v>
      </c>
      <c r="G50" s="23" t="s">
        <v>122</v>
      </c>
      <c r="H50" s="29">
        <f t="shared" si="10"/>
        <v>5</v>
      </c>
      <c r="I50" s="23" t="s">
        <v>122</v>
      </c>
      <c r="J50" s="29">
        <f t="shared" si="10"/>
        <v>5</v>
      </c>
      <c r="K50" s="23" t="s">
        <v>122</v>
      </c>
    </row>
    <row r="51" spans="1:11" x14ac:dyDescent="0.25">
      <c r="A51" s="28" t="s">
        <v>54</v>
      </c>
      <c r="B51" s="29">
        <f>B37</f>
        <v>5</v>
      </c>
      <c r="C51" s="23" t="s">
        <v>123</v>
      </c>
      <c r="D51" s="29">
        <f t="shared" ref="D51:J51" si="11">D37</f>
        <v>5</v>
      </c>
      <c r="E51" s="23" t="s">
        <v>123</v>
      </c>
      <c r="F51" s="29">
        <f t="shared" si="11"/>
        <v>5</v>
      </c>
      <c r="G51" s="23" t="s">
        <v>123</v>
      </c>
      <c r="H51" s="29">
        <f t="shared" si="11"/>
        <v>5</v>
      </c>
      <c r="I51" s="23" t="s">
        <v>123</v>
      </c>
      <c r="J51" s="29">
        <f t="shared" si="11"/>
        <v>5</v>
      </c>
      <c r="K51" s="23" t="s">
        <v>123</v>
      </c>
    </row>
    <row r="52" spans="1:11" ht="15.75" thickBot="1" x14ac:dyDescent="0.3">
      <c r="A52" s="10" t="s">
        <v>55</v>
      </c>
      <c r="B52" s="20">
        <f xml:space="preserve"> (B47 * B41) / ($B$31 /1000000* $B$11 * 1000)*1000</f>
        <v>15.151515151515152</v>
      </c>
      <c r="C52" s="31" t="s">
        <v>124</v>
      </c>
      <c r="D52" s="20">
        <f xml:space="preserve"> (D47 * D41) / ($B$31 /1000000* $B$11 * 1000)*1000</f>
        <v>10.121212121212119</v>
      </c>
      <c r="E52" s="31" t="s">
        <v>124</v>
      </c>
      <c r="F52" s="20">
        <f xml:space="preserve"> (F47 * F41) / ($B$31 /1000000* $B$11 * 1000)*1000</f>
        <v>9.0909090909090917</v>
      </c>
      <c r="G52" s="31" t="s">
        <v>124</v>
      </c>
      <c r="H52" s="20">
        <f xml:space="preserve"> (H47 * H41) / ($B$31 /1000000* $B$11 * 1000)*1000</f>
        <v>151.5151515151515</v>
      </c>
      <c r="I52" s="31" t="s">
        <v>124</v>
      </c>
      <c r="J52" s="20">
        <f xml:space="preserve"> (J47 * J41) / ($B$31 /1000000* $B$11 * 1000)*1000</f>
        <v>90.909090909090907</v>
      </c>
      <c r="K52" s="31" t="s">
        <v>124</v>
      </c>
    </row>
    <row r="53" spans="1:11" ht="15.75" thickTop="1" x14ac:dyDescent="0.25">
      <c r="B53" s="33"/>
      <c r="C53" s="34"/>
    </row>
    <row r="54" spans="1:11" x14ac:dyDescent="0.25">
      <c r="B54" s="33"/>
      <c r="C54" s="34"/>
    </row>
    <row r="55" spans="1:11" ht="18.75" x14ac:dyDescent="0.3">
      <c r="A55" s="2" t="s">
        <v>19</v>
      </c>
    </row>
    <row r="56" spans="1:11" ht="15.75" thickBot="1" x14ac:dyDescent="0.3"/>
    <row r="57" spans="1:11" ht="16.5" thickTop="1" thickBot="1" x14ac:dyDescent="0.3">
      <c r="A57" s="3" t="s">
        <v>0</v>
      </c>
      <c r="B57" s="3" t="s">
        <v>1</v>
      </c>
      <c r="C57" s="3" t="s">
        <v>7</v>
      </c>
      <c r="D57" s="3" t="s">
        <v>1</v>
      </c>
      <c r="E57" s="3" t="s">
        <v>7</v>
      </c>
      <c r="F57" s="3"/>
      <c r="G57" s="3"/>
      <c r="H57" s="3" t="s">
        <v>1</v>
      </c>
      <c r="I57" s="3" t="s">
        <v>7</v>
      </c>
      <c r="J57" s="3" t="s">
        <v>1</v>
      </c>
      <c r="K57" s="3" t="s">
        <v>7</v>
      </c>
    </row>
    <row r="58" spans="1:11" ht="15.75" thickTop="1" x14ac:dyDescent="0.25">
      <c r="A58" s="7" t="s">
        <v>16</v>
      </c>
      <c r="B58" s="8">
        <f>B40</f>
        <v>50</v>
      </c>
      <c r="C58" s="23" t="s">
        <v>20</v>
      </c>
      <c r="D58" s="8">
        <f>D40</f>
        <v>50</v>
      </c>
      <c r="E58" s="23" t="s">
        <v>20</v>
      </c>
      <c r="F58" s="8">
        <f>F40</f>
        <v>50</v>
      </c>
      <c r="G58" s="23" t="s">
        <v>20</v>
      </c>
      <c r="H58" s="8">
        <f>H40</f>
        <v>5</v>
      </c>
      <c r="I58" s="23" t="s">
        <v>20</v>
      </c>
      <c r="J58" s="8">
        <f>J40</f>
        <v>5</v>
      </c>
      <c r="K58" s="24" t="s">
        <v>20</v>
      </c>
    </row>
    <row r="59" spans="1:11" x14ac:dyDescent="0.25">
      <c r="A59" s="7" t="s">
        <v>17</v>
      </c>
      <c r="B59" s="8">
        <f>B41</f>
        <v>0.5</v>
      </c>
      <c r="C59" s="23"/>
      <c r="D59" s="8">
        <f>D41</f>
        <v>0.33399999999999996</v>
      </c>
      <c r="E59" s="23"/>
      <c r="F59" s="8">
        <f>F41</f>
        <v>0.30000000000000004</v>
      </c>
      <c r="G59" s="23"/>
      <c r="H59" s="8">
        <f>H41</f>
        <v>0.5</v>
      </c>
      <c r="I59" s="23"/>
      <c r="J59" s="8">
        <f>J41</f>
        <v>0.30000000000000004</v>
      </c>
      <c r="K59" s="24"/>
    </row>
    <row r="60" spans="1:11" x14ac:dyDescent="0.25">
      <c r="A60" s="7" t="s">
        <v>14</v>
      </c>
      <c r="B60" s="25">
        <v>5</v>
      </c>
      <c r="C60" s="23" t="s">
        <v>3</v>
      </c>
      <c r="D60" s="25">
        <v>5</v>
      </c>
      <c r="E60" s="23" t="s">
        <v>3</v>
      </c>
      <c r="F60" s="88">
        <v>5</v>
      </c>
      <c r="G60" s="23"/>
      <c r="H60" s="25">
        <v>5</v>
      </c>
      <c r="I60" s="23" t="s">
        <v>3</v>
      </c>
      <c r="J60" s="25">
        <v>5</v>
      </c>
      <c r="K60" s="24" t="s">
        <v>3</v>
      </c>
    </row>
    <row r="61" spans="1:11" x14ac:dyDescent="0.25">
      <c r="A61" s="7" t="s">
        <v>15</v>
      </c>
      <c r="B61" s="25">
        <v>0.5</v>
      </c>
      <c r="C61" s="24" t="s">
        <v>4</v>
      </c>
      <c r="D61" s="25">
        <v>0.33400000000000002</v>
      </c>
      <c r="E61" s="24" t="s">
        <v>4</v>
      </c>
      <c r="F61" s="25">
        <v>0.3</v>
      </c>
      <c r="G61" s="24" t="s">
        <v>4</v>
      </c>
      <c r="H61" s="25">
        <v>0.5</v>
      </c>
      <c r="I61" s="24" t="s">
        <v>4</v>
      </c>
      <c r="J61" s="25">
        <v>0.3</v>
      </c>
      <c r="K61" s="24" t="s">
        <v>4</v>
      </c>
    </row>
    <row r="62" spans="1:11" x14ac:dyDescent="0.25">
      <c r="A62" s="7" t="s">
        <v>18</v>
      </c>
      <c r="B62" s="27" t="s">
        <v>153</v>
      </c>
      <c r="C62" s="23"/>
      <c r="D62" s="27" t="s">
        <v>153</v>
      </c>
      <c r="E62" s="23"/>
      <c r="F62" s="25" t="s">
        <v>153</v>
      </c>
      <c r="G62" s="23"/>
      <c r="H62" s="27" t="s">
        <v>153</v>
      </c>
      <c r="I62" s="23"/>
      <c r="J62" s="27" t="s">
        <v>153</v>
      </c>
      <c r="K62" s="24"/>
    </row>
    <row r="63" spans="1:11" x14ac:dyDescent="0.25">
      <c r="A63" s="39" t="s">
        <v>46</v>
      </c>
      <c r="B63" s="27">
        <v>0.37</v>
      </c>
      <c r="C63" s="23" t="s">
        <v>21</v>
      </c>
      <c r="D63" s="27">
        <v>0.28000000000000003</v>
      </c>
      <c r="E63" s="23" t="s">
        <v>21</v>
      </c>
      <c r="F63" s="88">
        <v>0.26</v>
      </c>
      <c r="G63" s="23" t="s">
        <v>21</v>
      </c>
      <c r="H63" s="27">
        <v>0.32</v>
      </c>
      <c r="I63" s="23" t="s">
        <v>21</v>
      </c>
      <c r="J63" s="27">
        <v>0.24</v>
      </c>
      <c r="K63" s="23" t="s">
        <v>21</v>
      </c>
    </row>
    <row r="64" spans="1:11" x14ac:dyDescent="0.25">
      <c r="A64" s="7" t="s">
        <v>49</v>
      </c>
      <c r="B64" s="25">
        <v>0.37</v>
      </c>
      <c r="C64" s="23" t="s">
        <v>21</v>
      </c>
      <c r="D64" s="27">
        <v>0.28999999999999998</v>
      </c>
      <c r="E64" s="23" t="s">
        <v>21</v>
      </c>
      <c r="F64" s="88">
        <v>0.28000000000000003</v>
      </c>
      <c r="G64" s="23" t="s">
        <v>21</v>
      </c>
      <c r="H64" s="25">
        <v>2.17</v>
      </c>
      <c r="I64" s="23" t="s">
        <v>21</v>
      </c>
      <c r="J64" s="25">
        <v>1.59</v>
      </c>
      <c r="K64" s="23" t="s">
        <v>21</v>
      </c>
    </row>
    <row r="65" spans="1:11" x14ac:dyDescent="0.25">
      <c r="A65" s="7" t="s">
        <v>48</v>
      </c>
      <c r="B65" s="25">
        <v>0.23</v>
      </c>
      <c r="C65" s="23" t="s">
        <v>21</v>
      </c>
      <c r="D65" s="25">
        <v>0.17</v>
      </c>
      <c r="E65" s="23" t="s">
        <v>21</v>
      </c>
      <c r="F65" s="88">
        <v>0.16</v>
      </c>
      <c r="G65" s="23" t="s">
        <v>21</v>
      </c>
      <c r="H65" s="25">
        <v>2.0699999999999998</v>
      </c>
      <c r="I65" s="23" t="s">
        <v>21</v>
      </c>
      <c r="J65" s="25">
        <v>1.59</v>
      </c>
      <c r="K65" s="23" t="s">
        <v>21</v>
      </c>
    </row>
    <row r="66" spans="1:11" x14ac:dyDescent="0.25">
      <c r="A66" s="28" t="s">
        <v>50</v>
      </c>
      <c r="B66" s="29">
        <v>0.1</v>
      </c>
      <c r="C66" s="23" t="s">
        <v>21</v>
      </c>
      <c r="D66" s="29">
        <v>0.1</v>
      </c>
      <c r="E66" s="23" t="s">
        <v>21</v>
      </c>
      <c r="F66" s="29">
        <v>0.1</v>
      </c>
      <c r="G66" s="23" t="s">
        <v>21</v>
      </c>
      <c r="H66" s="29">
        <v>1</v>
      </c>
      <c r="I66" s="23" t="s">
        <v>21</v>
      </c>
      <c r="J66" s="29">
        <v>1</v>
      </c>
      <c r="K66" s="23" t="s">
        <v>21</v>
      </c>
    </row>
    <row r="67" spans="1:11" x14ac:dyDescent="0.25">
      <c r="A67" s="28" t="s">
        <v>52</v>
      </c>
      <c r="B67" s="29">
        <v>0.17</v>
      </c>
      <c r="C67" s="23" t="s">
        <v>21</v>
      </c>
      <c r="D67" s="29">
        <v>0.1</v>
      </c>
      <c r="E67" s="23" t="s">
        <v>21</v>
      </c>
      <c r="F67" s="29">
        <v>0.1</v>
      </c>
      <c r="G67" s="23" t="s">
        <v>21</v>
      </c>
      <c r="H67" s="29">
        <v>1.6</v>
      </c>
      <c r="I67" s="23" t="s">
        <v>21</v>
      </c>
      <c r="J67" s="29">
        <v>0.97</v>
      </c>
      <c r="K67" s="23" t="s">
        <v>21</v>
      </c>
    </row>
    <row r="68" spans="1:11" x14ac:dyDescent="0.25">
      <c r="A68" s="28" t="s">
        <v>51</v>
      </c>
      <c r="B68" s="29">
        <v>0.12</v>
      </c>
      <c r="C68" s="23" t="s">
        <v>21</v>
      </c>
      <c r="D68" s="29">
        <v>0.1</v>
      </c>
      <c r="E68" s="23" t="s">
        <v>21</v>
      </c>
      <c r="F68" s="29">
        <v>0.1</v>
      </c>
      <c r="G68" s="23" t="s">
        <v>21</v>
      </c>
      <c r="H68" s="29">
        <v>1</v>
      </c>
      <c r="I68" s="23" t="s">
        <v>21</v>
      </c>
      <c r="J68" s="29">
        <v>0.77</v>
      </c>
      <c r="K68" s="23" t="s">
        <v>21</v>
      </c>
    </row>
    <row r="69" spans="1:11" x14ac:dyDescent="0.25">
      <c r="A69" s="7" t="s">
        <v>53</v>
      </c>
      <c r="B69" s="29">
        <v>5.03</v>
      </c>
      <c r="C69" s="23" t="s">
        <v>3</v>
      </c>
      <c r="D69" s="29">
        <v>5.01</v>
      </c>
      <c r="E69" s="23" t="s">
        <v>3</v>
      </c>
      <c r="F69" s="29">
        <v>5.01</v>
      </c>
      <c r="G69" s="23" t="s">
        <v>3</v>
      </c>
      <c r="H69" s="29">
        <v>5.03</v>
      </c>
      <c r="I69" s="23" t="s">
        <v>3</v>
      </c>
      <c r="J69" s="29">
        <v>5.05</v>
      </c>
      <c r="K69" s="23" t="s">
        <v>3</v>
      </c>
    </row>
    <row r="70" spans="1:11" x14ac:dyDescent="0.25">
      <c r="A70" s="28" t="s">
        <v>54</v>
      </c>
      <c r="B70" s="29">
        <v>5</v>
      </c>
      <c r="C70" s="30" t="s">
        <v>3</v>
      </c>
      <c r="D70" s="29">
        <v>5</v>
      </c>
      <c r="E70" s="30" t="s">
        <v>3</v>
      </c>
      <c r="F70" s="29">
        <v>5</v>
      </c>
      <c r="G70" s="30" t="s">
        <v>3</v>
      </c>
      <c r="H70" s="29">
        <v>5.0199999999999996</v>
      </c>
      <c r="I70" s="30" t="s">
        <v>3</v>
      </c>
      <c r="J70" s="29">
        <v>5</v>
      </c>
      <c r="K70" s="30" t="s">
        <v>3</v>
      </c>
    </row>
    <row r="71" spans="1:11" ht="15.75" thickBot="1" x14ac:dyDescent="0.3">
      <c r="A71" s="10" t="s">
        <v>55</v>
      </c>
      <c r="B71" s="20">
        <v>7.0000000000000007E-2</v>
      </c>
      <c r="C71" s="31" t="s">
        <v>3</v>
      </c>
      <c r="D71" s="20">
        <v>0.04</v>
      </c>
      <c r="E71" s="31" t="s">
        <v>3</v>
      </c>
      <c r="F71" s="20">
        <v>0.04</v>
      </c>
      <c r="G71" s="31" t="s">
        <v>3</v>
      </c>
      <c r="H71" s="20">
        <v>0.08</v>
      </c>
      <c r="I71" s="31" t="s">
        <v>3</v>
      </c>
      <c r="J71" s="20">
        <v>0.1</v>
      </c>
      <c r="K71" s="31" t="s">
        <v>3</v>
      </c>
    </row>
    <row r="72" spans="1:11" ht="15.75" thickTop="1" x14ac:dyDescent="0.25"/>
    <row r="74" spans="1:11" ht="18.75" x14ac:dyDescent="0.3">
      <c r="A74" s="2" t="s">
        <v>22</v>
      </c>
    </row>
    <row r="75" spans="1:11" ht="15.75" thickBot="1" x14ac:dyDescent="0.3"/>
    <row r="76" spans="1:11" ht="16.5" thickTop="1" thickBot="1" x14ac:dyDescent="0.3">
      <c r="A76" s="3" t="s">
        <v>0</v>
      </c>
      <c r="B76" s="3" t="s">
        <v>1</v>
      </c>
      <c r="C76" s="3" t="s">
        <v>7</v>
      </c>
    </row>
    <row r="77" spans="1:11" ht="15.75" thickTop="1" x14ac:dyDescent="0.25">
      <c r="A77" s="4" t="s">
        <v>127</v>
      </c>
      <c r="B77" s="5">
        <v>1</v>
      </c>
      <c r="C77" s="14" t="s">
        <v>3</v>
      </c>
    </row>
    <row r="78" spans="1:11" x14ac:dyDescent="0.25">
      <c r="A78" s="15" t="s">
        <v>128</v>
      </c>
      <c r="B78" s="35">
        <v>4</v>
      </c>
      <c r="C78" s="17" t="s">
        <v>3</v>
      </c>
    </row>
    <row r="79" spans="1:11" x14ac:dyDescent="0.25">
      <c r="A79" s="15" t="s">
        <v>23</v>
      </c>
      <c r="B79" s="35">
        <v>2.5</v>
      </c>
      <c r="C79" s="36" t="s">
        <v>3</v>
      </c>
    </row>
    <row r="80" spans="1:11" ht="15.75" x14ac:dyDescent="0.25">
      <c r="A80" s="53" t="s">
        <v>133</v>
      </c>
      <c r="B80" s="37">
        <v>22</v>
      </c>
      <c r="C80" s="18" t="s">
        <v>24</v>
      </c>
    </row>
    <row r="81" spans="1:5" x14ac:dyDescent="0.25">
      <c r="A81" s="53" t="s">
        <v>132</v>
      </c>
      <c r="B81" s="35">
        <v>1</v>
      </c>
      <c r="C81" s="18" t="s">
        <v>25</v>
      </c>
    </row>
    <row r="82" spans="1:5" x14ac:dyDescent="0.25">
      <c r="A82" s="53" t="s">
        <v>131</v>
      </c>
      <c r="B82" s="16">
        <v>18</v>
      </c>
      <c r="C82" s="18" t="s">
        <v>26</v>
      </c>
    </row>
    <row r="83" spans="1:5" x14ac:dyDescent="0.25">
      <c r="A83" s="53" t="s">
        <v>130</v>
      </c>
      <c r="B83" s="16">
        <v>0.47</v>
      </c>
      <c r="C83" s="18" t="s">
        <v>137</v>
      </c>
    </row>
    <row r="84" spans="1:5" x14ac:dyDescent="0.25">
      <c r="A84" s="53" t="s">
        <v>134</v>
      </c>
      <c r="B84" s="16">
        <v>4.7</v>
      </c>
      <c r="C84" s="18" t="s">
        <v>138</v>
      </c>
    </row>
    <row r="85" spans="1:5" x14ac:dyDescent="0.25">
      <c r="A85" s="53" t="s">
        <v>135</v>
      </c>
      <c r="B85" s="16">
        <v>270</v>
      </c>
      <c r="C85" s="18" t="s">
        <v>139</v>
      </c>
    </row>
    <row r="86" spans="1:5" x14ac:dyDescent="0.25">
      <c r="A86" s="53" t="s">
        <v>136</v>
      </c>
      <c r="B86" s="16">
        <v>1000</v>
      </c>
      <c r="C86" s="18" t="s">
        <v>140</v>
      </c>
    </row>
    <row r="87" spans="1:5" x14ac:dyDescent="0.25">
      <c r="A87" s="53" t="s">
        <v>27</v>
      </c>
      <c r="B87" s="16">
        <v>10</v>
      </c>
      <c r="C87" s="18" t="s">
        <v>141</v>
      </c>
    </row>
    <row r="88" spans="1:5" x14ac:dyDescent="0.25">
      <c r="A88" s="53" t="s">
        <v>28</v>
      </c>
      <c r="B88" s="16">
        <v>10</v>
      </c>
      <c r="C88" s="18" t="s">
        <v>142</v>
      </c>
    </row>
    <row r="89" spans="1:5" x14ac:dyDescent="0.25">
      <c r="A89" s="53" t="s">
        <v>129</v>
      </c>
      <c r="B89" s="16">
        <v>1000</v>
      </c>
      <c r="C89" s="18" t="s">
        <v>143</v>
      </c>
    </row>
    <row r="90" spans="1:5" x14ac:dyDescent="0.25">
      <c r="A90" s="15" t="s">
        <v>125</v>
      </c>
      <c r="B90" s="35">
        <v>4.7</v>
      </c>
      <c r="C90" s="18" t="s">
        <v>29</v>
      </c>
    </row>
    <row r="91" spans="1:5" x14ac:dyDescent="0.25">
      <c r="A91" s="15" t="s">
        <v>126</v>
      </c>
      <c r="B91" s="35">
        <v>10</v>
      </c>
      <c r="C91" s="18" t="s">
        <v>29</v>
      </c>
      <c r="E91" t="e" vm="1">
        <v>#VALUE!</v>
      </c>
    </row>
    <row r="92" spans="1:5" x14ac:dyDescent="0.25">
      <c r="A92" s="15" t="s">
        <v>30</v>
      </c>
      <c r="B92" s="16">
        <v>0.15</v>
      </c>
      <c r="C92" s="18"/>
    </row>
    <row r="93" spans="1:5" ht="15.75" thickBot="1" x14ac:dyDescent="0.3">
      <c r="A93" s="10" t="s">
        <v>31</v>
      </c>
      <c r="B93" s="20">
        <v>190</v>
      </c>
      <c r="C93" s="19"/>
    </row>
    <row r="94" spans="1:5" ht="15.75" thickTop="1" x14ac:dyDescent="0.25"/>
    <row r="95" spans="1:5" ht="18.75" x14ac:dyDescent="0.3">
      <c r="A95" s="2" t="s">
        <v>32</v>
      </c>
    </row>
    <row r="97" spans="1:11" ht="15.75" thickBot="1" x14ac:dyDescent="0.3"/>
    <row r="98" spans="1:11" ht="16.5" thickTop="1" thickBot="1" x14ac:dyDescent="0.3">
      <c r="A98" s="3" t="s">
        <v>0</v>
      </c>
      <c r="B98" s="3" t="s">
        <v>1</v>
      </c>
      <c r="C98" s="3" t="s">
        <v>7</v>
      </c>
      <c r="D98" s="3" t="s">
        <v>1</v>
      </c>
      <c r="E98" s="3" t="s">
        <v>7</v>
      </c>
      <c r="F98" s="3"/>
      <c r="G98" s="3"/>
      <c r="H98" s="3" t="s">
        <v>1</v>
      </c>
      <c r="I98" s="3" t="s">
        <v>7</v>
      </c>
      <c r="J98" s="3" t="s">
        <v>1</v>
      </c>
      <c r="K98" s="3" t="s">
        <v>7</v>
      </c>
    </row>
    <row r="99" spans="1:11" ht="15.75" thickTop="1" x14ac:dyDescent="0.25">
      <c r="A99" s="7" t="s">
        <v>16</v>
      </c>
      <c r="B99" s="8">
        <f>B40</f>
        <v>50</v>
      </c>
      <c r="C99" s="23" t="s">
        <v>20</v>
      </c>
      <c r="D99" s="8">
        <f>D40</f>
        <v>50</v>
      </c>
      <c r="E99" s="23" t="s">
        <v>20</v>
      </c>
      <c r="F99" s="8">
        <f>F40</f>
        <v>50</v>
      </c>
      <c r="G99" s="23" t="s">
        <v>20</v>
      </c>
      <c r="H99" s="8">
        <f>H40</f>
        <v>5</v>
      </c>
      <c r="I99" s="23" t="s">
        <v>20</v>
      </c>
      <c r="J99" s="8">
        <f>J40</f>
        <v>5</v>
      </c>
      <c r="K99" s="24" t="s">
        <v>20</v>
      </c>
    </row>
    <row r="100" spans="1:11" x14ac:dyDescent="0.25">
      <c r="A100" s="7" t="s">
        <v>33</v>
      </c>
      <c r="B100" s="8">
        <v>2.5</v>
      </c>
      <c r="C100" s="23" t="s">
        <v>3</v>
      </c>
      <c r="D100" s="8">
        <v>2.5</v>
      </c>
      <c r="E100" s="23" t="s">
        <v>3</v>
      </c>
      <c r="F100" s="8">
        <v>2.5</v>
      </c>
      <c r="G100" s="23" t="s">
        <v>3</v>
      </c>
      <c r="H100" s="8">
        <v>2.5</v>
      </c>
      <c r="I100" s="23" t="s">
        <v>3</v>
      </c>
      <c r="J100" s="8">
        <v>2.5</v>
      </c>
      <c r="K100" s="24" t="s">
        <v>3</v>
      </c>
    </row>
    <row r="101" spans="1:11" x14ac:dyDescent="0.25">
      <c r="A101" s="7" t="s">
        <v>34</v>
      </c>
      <c r="B101" s="25">
        <v>5</v>
      </c>
      <c r="C101" s="23" t="s">
        <v>3</v>
      </c>
      <c r="D101" s="25">
        <v>5</v>
      </c>
      <c r="E101" s="23" t="s">
        <v>3</v>
      </c>
      <c r="F101" s="23" t="s">
        <v>154</v>
      </c>
      <c r="G101" s="23" t="s">
        <v>3</v>
      </c>
      <c r="H101" s="25">
        <v>5</v>
      </c>
      <c r="I101" s="23" t="s">
        <v>3</v>
      </c>
      <c r="J101" s="25">
        <v>5</v>
      </c>
      <c r="K101" s="24" t="s">
        <v>3</v>
      </c>
    </row>
    <row r="102" spans="1:11" ht="15.75" thickBot="1" x14ac:dyDescent="0.3">
      <c r="A102" s="10" t="s">
        <v>35</v>
      </c>
      <c r="B102" s="20">
        <v>5</v>
      </c>
      <c r="C102" s="31" t="s">
        <v>36</v>
      </c>
      <c r="D102" s="20">
        <v>8</v>
      </c>
      <c r="E102" s="31" t="s">
        <v>36</v>
      </c>
      <c r="F102" s="31" t="s">
        <v>156</v>
      </c>
      <c r="G102" s="31" t="s">
        <v>36</v>
      </c>
      <c r="H102" s="20">
        <v>30</v>
      </c>
      <c r="I102" s="31" t="s">
        <v>36</v>
      </c>
      <c r="J102" s="20">
        <v>15</v>
      </c>
      <c r="K102" s="32" t="s">
        <v>36</v>
      </c>
    </row>
    <row r="103" spans="1:11" ht="15.75" thickTop="1" x14ac:dyDescent="0.25"/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A05D-7210-44AC-859D-2846F0884F7B}">
  <dimension ref="A1:G52"/>
  <sheetViews>
    <sheetView topLeftCell="A33" workbookViewId="0">
      <selection activeCell="G49" sqref="G49"/>
    </sheetView>
  </sheetViews>
  <sheetFormatPr defaultColWidth="12" defaultRowHeight="15" x14ac:dyDescent="0.25"/>
  <cols>
    <col min="1" max="1" width="24.42578125" customWidth="1"/>
    <col min="2" max="9" width="12.85546875" customWidth="1"/>
  </cols>
  <sheetData>
    <row r="1" spans="1:3" ht="21" x14ac:dyDescent="0.35">
      <c r="A1" s="1" t="s">
        <v>92</v>
      </c>
    </row>
    <row r="3" spans="1:3" ht="18.75" x14ac:dyDescent="0.3">
      <c r="A3" s="2" t="s">
        <v>62</v>
      </c>
    </row>
    <row r="4" spans="1:3" ht="15.75" thickBot="1" x14ac:dyDescent="0.3"/>
    <row r="5" spans="1:3" ht="16.5" thickTop="1" thickBot="1" x14ac:dyDescent="0.3">
      <c r="A5" s="3" t="s">
        <v>0</v>
      </c>
      <c r="B5" s="3" t="s">
        <v>1</v>
      </c>
      <c r="C5" s="3" t="s">
        <v>2</v>
      </c>
    </row>
    <row r="6" spans="1:3" ht="15.75" thickTop="1" x14ac:dyDescent="0.25">
      <c r="A6" s="38" t="s">
        <v>104</v>
      </c>
      <c r="B6" s="5">
        <f>SS_Analysis!B23</f>
        <v>39</v>
      </c>
      <c r="C6" s="18" t="s">
        <v>8</v>
      </c>
    </row>
    <row r="7" spans="1:3" x14ac:dyDescent="0.25">
      <c r="A7" s="39" t="s">
        <v>94</v>
      </c>
      <c r="B7" s="8">
        <f>SS_Analysis!H42</f>
        <v>2</v>
      </c>
      <c r="C7" s="9" t="s">
        <v>43</v>
      </c>
    </row>
    <row r="8" spans="1:3" x14ac:dyDescent="0.25">
      <c r="A8" s="39" t="s">
        <v>95</v>
      </c>
      <c r="B8" s="8">
        <f>SS_Analysis!H45</f>
        <v>2.1602564102564101</v>
      </c>
      <c r="C8" s="9" t="s">
        <v>43</v>
      </c>
    </row>
    <row r="9" spans="1:3" x14ac:dyDescent="0.25">
      <c r="A9" s="39" t="s">
        <v>93</v>
      </c>
      <c r="B9" s="8">
        <f>SS_Analysis!H46</f>
        <v>2.0021390325539556</v>
      </c>
      <c r="C9" s="9" t="s">
        <v>43</v>
      </c>
    </row>
    <row r="10" spans="1:3" x14ac:dyDescent="0.25">
      <c r="A10" s="7" t="s">
        <v>63</v>
      </c>
      <c r="B10" s="8">
        <v>0.25</v>
      </c>
      <c r="C10" s="9" t="s">
        <v>64</v>
      </c>
    </row>
    <row r="11" spans="1:3" ht="15.75" thickBot="1" x14ac:dyDescent="0.3">
      <c r="A11" s="10" t="s">
        <v>5</v>
      </c>
      <c r="B11" s="11">
        <f>SS_Analysis!B11</f>
        <v>100</v>
      </c>
      <c r="C11" s="12" t="s">
        <v>6</v>
      </c>
    </row>
    <row r="12" spans="1:3" ht="16.5" thickTop="1" x14ac:dyDescent="0.25">
      <c r="A12" s="13"/>
    </row>
    <row r="14" spans="1:3" ht="18.75" x14ac:dyDescent="0.3">
      <c r="A14" s="2" t="s">
        <v>65</v>
      </c>
    </row>
    <row r="15" spans="1:3" ht="19.5" thickBot="1" x14ac:dyDescent="0.35">
      <c r="A15" s="2"/>
    </row>
    <row r="16" spans="1:3" ht="16.5" thickTop="1" thickBot="1" x14ac:dyDescent="0.3">
      <c r="A16" s="3" t="s">
        <v>0</v>
      </c>
      <c r="B16" s="3" t="s">
        <v>1</v>
      </c>
      <c r="C16" s="3" t="s">
        <v>2</v>
      </c>
    </row>
    <row r="17" spans="1:3" ht="15.75" thickTop="1" x14ac:dyDescent="0.25">
      <c r="A17" s="60" t="s">
        <v>66</v>
      </c>
      <c r="B17" s="61" t="s">
        <v>67</v>
      </c>
      <c r="C17" s="62"/>
    </row>
    <row r="18" spans="1:3" x14ac:dyDescent="0.25">
      <c r="A18" s="63" t="s">
        <v>68</v>
      </c>
      <c r="B18" s="64" t="s">
        <v>69</v>
      </c>
      <c r="C18" s="65"/>
    </row>
    <row r="19" spans="1:3" x14ac:dyDescent="0.25">
      <c r="A19" s="63" t="s">
        <v>70</v>
      </c>
      <c r="B19" s="66">
        <v>31</v>
      </c>
      <c r="C19" s="65" t="s">
        <v>71</v>
      </c>
    </row>
    <row r="20" spans="1:3" x14ac:dyDescent="0.25">
      <c r="A20" s="63" t="s">
        <v>72</v>
      </c>
      <c r="B20" s="66">
        <v>47</v>
      </c>
      <c r="C20" s="65" t="s">
        <v>73</v>
      </c>
    </row>
    <row r="21" spans="1:3" x14ac:dyDescent="0.25">
      <c r="A21" s="63" t="s">
        <v>74</v>
      </c>
      <c r="B21" s="66">
        <v>1460</v>
      </c>
      <c r="C21" s="65" t="s">
        <v>75</v>
      </c>
    </row>
    <row r="22" spans="1:3" x14ac:dyDescent="0.25">
      <c r="A22" s="63" t="s">
        <v>76</v>
      </c>
      <c r="B22" s="66">
        <v>28.1</v>
      </c>
      <c r="C22" s="65" t="s">
        <v>71</v>
      </c>
    </row>
    <row r="23" spans="1:3" x14ac:dyDescent="0.25">
      <c r="A23" s="63" t="s">
        <v>77</v>
      </c>
      <c r="B23" s="66">
        <v>40.200000000000003</v>
      </c>
      <c r="C23" s="65" t="s">
        <v>73</v>
      </c>
    </row>
    <row r="24" spans="1:3" x14ac:dyDescent="0.25">
      <c r="A24" s="63" t="s">
        <v>78</v>
      </c>
      <c r="B24" s="67">
        <v>1.68E-6</v>
      </c>
      <c r="C24" s="65" t="s">
        <v>79</v>
      </c>
    </row>
    <row r="25" spans="1:3" x14ac:dyDescent="0.25">
      <c r="A25" s="63" t="s">
        <v>80</v>
      </c>
      <c r="B25" s="67" t="s">
        <v>155</v>
      </c>
      <c r="C25" s="65" t="s">
        <v>81</v>
      </c>
    </row>
    <row r="26" spans="1:3" x14ac:dyDescent="0.25">
      <c r="A26" s="68" t="s">
        <v>82</v>
      </c>
      <c r="B26" s="69">
        <v>1510</v>
      </c>
      <c r="C26" s="65"/>
    </row>
    <row r="27" spans="1:3" ht="15.75" thickBot="1" x14ac:dyDescent="0.3">
      <c r="A27" s="70" t="s">
        <v>83</v>
      </c>
      <c r="B27" s="71">
        <v>0.65</v>
      </c>
      <c r="C27" s="72"/>
    </row>
    <row r="28" spans="1:3" ht="15.75" thickTop="1" x14ac:dyDescent="0.25"/>
    <row r="30" spans="1:3" ht="18.75" x14ac:dyDescent="0.3">
      <c r="A30" s="2" t="s">
        <v>84</v>
      </c>
    </row>
    <row r="31" spans="1:3" ht="15.75" thickBot="1" x14ac:dyDescent="0.3"/>
    <row r="32" spans="1:3" ht="16.5" thickTop="1" thickBot="1" x14ac:dyDescent="0.3">
      <c r="A32" s="3" t="s">
        <v>0</v>
      </c>
      <c r="B32" s="3" t="s">
        <v>1</v>
      </c>
      <c r="C32" s="3" t="s">
        <v>7</v>
      </c>
    </row>
    <row r="33" spans="1:7" ht="15.75" thickTop="1" x14ac:dyDescent="0.25">
      <c r="A33" s="60" t="s">
        <v>85</v>
      </c>
      <c r="B33" s="73">
        <v>0.1</v>
      </c>
      <c r="C33" s="74" t="s">
        <v>145</v>
      </c>
      <c r="G33" s="75"/>
    </row>
    <row r="34" spans="1:7" x14ac:dyDescent="0.25">
      <c r="A34" s="76" t="s">
        <v>86</v>
      </c>
      <c r="B34" s="77">
        <v>12</v>
      </c>
      <c r="C34" s="78" t="s">
        <v>146</v>
      </c>
      <c r="G34" s="75"/>
    </row>
    <row r="35" spans="1:7" x14ac:dyDescent="0.25">
      <c r="A35" s="76" t="s">
        <v>87</v>
      </c>
      <c r="B35" s="79">
        <v>0.22600000000000001</v>
      </c>
      <c r="C35" s="78" t="s">
        <v>147</v>
      </c>
      <c r="F35" s="80"/>
      <c r="G35" s="75"/>
    </row>
    <row r="36" spans="1:7" ht="15.75" x14ac:dyDescent="0.25">
      <c r="A36" s="76" t="s">
        <v>88</v>
      </c>
      <c r="B36" s="81" t="str">
        <f>IF(B35&lt;=B10,"Yes","No")</f>
        <v>Yes</v>
      </c>
      <c r="C36" s="78"/>
      <c r="E36" s="13"/>
      <c r="F36" s="13"/>
      <c r="G36" s="13"/>
    </row>
    <row r="37" spans="1:7" x14ac:dyDescent="0.25">
      <c r="A37" s="76" t="s">
        <v>89</v>
      </c>
      <c r="B37" s="77">
        <v>0.20599999999999999</v>
      </c>
      <c r="C37" s="78" t="s">
        <v>148</v>
      </c>
    </row>
    <row r="38" spans="1:7" x14ac:dyDescent="0.25">
      <c r="A38" s="83" t="s">
        <v>97</v>
      </c>
      <c r="B38" s="82">
        <v>0.5</v>
      </c>
      <c r="C38" s="78" t="s">
        <v>73</v>
      </c>
    </row>
    <row r="39" spans="1:7" x14ac:dyDescent="0.25">
      <c r="A39" s="83" t="s">
        <v>96</v>
      </c>
      <c r="B39" s="77">
        <v>0.98199999999999998</v>
      </c>
      <c r="C39" s="78" t="s">
        <v>149</v>
      </c>
    </row>
    <row r="40" spans="1:7" x14ac:dyDescent="0.25">
      <c r="A40" s="83" t="s">
        <v>98</v>
      </c>
      <c r="B40" s="82">
        <v>5</v>
      </c>
      <c r="C40" s="78"/>
    </row>
    <row r="41" spans="1:7" x14ac:dyDescent="0.25">
      <c r="A41" s="83" t="s">
        <v>99</v>
      </c>
      <c r="B41" s="77">
        <v>8.2550000000000008</v>
      </c>
      <c r="C41" s="78" t="s">
        <v>150</v>
      </c>
    </row>
    <row r="42" spans="1:7" ht="15.75" thickBot="1" x14ac:dyDescent="0.3">
      <c r="A42" s="84" t="s">
        <v>90</v>
      </c>
      <c r="B42" s="85">
        <v>0.33</v>
      </c>
      <c r="C42" s="86" t="s">
        <v>151</v>
      </c>
    </row>
    <row r="43" spans="1:7" ht="15.75" thickTop="1" x14ac:dyDescent="0.25">
      <c r="B43" s="75"/>
    </row>
    <row r="45" spans="1:7" ht="18.75" x14ac:dyDescent="0.3">
      <c r="A45" s="2" t="s">
        <v>100</v>
      </c>
    </row>
    <row r="46" spans="1:7" ht="15.75" thickBot="1" x14ac:dyDescent="0.3"/>
    <row r="47" spans="1:7" ht="16.5" thickTop="1" thickBot="1" x14ac:dyDescent="0.3">
      <c r="A47" s="3" t="s">
        <v>0</v>
      </c>
      <c r="B47" s="95" t="s">
        <v>1</v>
      </c>
      <c r="C47" s="3" t="s">
        <v>7</v>
      </c>
    </row>
    <row r="48" spans="1:7" ht="15.75" thickTop="1" x14ac:dyDescent="0.25">
      <c r="A48" s="89" t="s">
        <v>101</v>
      </c>
      <c r="B48" s="88">
        <v>39</v>
      </c>
      <c r="C48" s="92" t="s">
        <v>91</v>
      </c>
    </row>
    <row r="49" spans="1:3" x14ac:dyDescent="0.25">
      <c r="A49" s="90" t="s">
        <v>87</v>
      </c>
      <c r="B49" s="96">
        <v>0.248</v>
      </c>
      <c r="C49" s="93" t="s">
        <v>64</v>
      </c>
    </row>
    <row r="50" spans="1:3" x14ac:dyDescent="0.25">
      <c r="A50" s="89" t="s">
        <v>152</v>
      </c>
      <c r="B50" s="96">
        <v>7.5</v>
      </c>
      <c r="C50" s="93" t="s">
        <v>64</v>
      </c>
    </row>
    <row r="51" spans="1:3" ht="15.75" thickBot="1" x14ac:dyDescent="0.3">
      <c r="A51" s="91" t="s">
        <v>102</v>
      </c>
      <c r="B51" s="97">
        <v>12</v>
      </c>
      <c r="C51" s="94" t="s">
        <v>103</v>
      </c>
    </row>
    <row r="52" spans="1:3" ht="15.75" thickTop="1" x14ac:dyDescent="0.25"/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75eb9d1-7479-4f8a-9240-cc5b19dbbc64}" enabled="1" method="Standard" siteId="{d1b36e95-0d50-42e9-958f-b63fa906bea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SS_Analysis</vt:lpstr>
      <vt:lpstr>Inductor_Design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Duleepa Thrimawithana</dc:creator>
  <cp:lastModifiedBy>Leon Fang</cp:lastModifiedBy>
  <dcterms:created xsi:type="dcterms:W3CDTF">2025-12-20T08:56:10Z</dcterms:created>
  <dcterms:modified xsi:type="dcterms:W3CDTF">2026-08-31T01:15:11Z</dcterms:modified>
</cp:coreProperties>
</file>